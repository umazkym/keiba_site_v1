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a75f2964241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f70f58082f1a4144"/>
    <x:sheet xmlns:r="http://schemas.openxmlformats.org/officeDocument/2006/relationships" name="出典" sheetId="2" r:id="Rdaed82ff16b54571"/>
    <x:sheet xmlns:r="http://schemas.openxmlformats.org/officeDocument/2006/relationships" name="日次" sheetId="3" r:id="R836fcfeba5ad4eae"/>
    <x:sheet xmlns:r="http://schemas.openxmlformats.org/officeDocument/2006/relationships" name="流入" sheetId="4" r:id="Rd84346bf9a014e5d"/>
    <x:sheet xmlns:r="http://schemas.openxmlformats.org/officeDocument/2006/relationships" name="SEO" sheetId="5" r:id="R6420b29ee4c749ab"/>
    <x:sheet xmlns:r="http://schemas.openxmlformats.org/officeDocument/2006/relationships" name="ページ群" sheetId="6" r:id="Rf63db40910a64592"/>
    <x:sheet xmlns:r="http://schemas.openxmlformats.org/officeDocument/2006/relationships" name="広告" sheetId="7" r:id="Rd5b3bb1014e64be2"/>
    <x:sheet xmlns:r="http://schemas.openxmlformats.org/officeDocument/2006/relationships" name="回遊" sheetId="8" r:id="R2d6726f1fb3b4a94"/>
    <x:sheet xmlns:r="http://schemas.openxmlformats.org/officeDocument/2006/relationships" name="アフィリエイト" sheetId="9" r:id="R7c50d18ce1874819"/>
    <x:sheet xmlns:r="http://schemas.openxmlformats.org/officeDocument/2006/relationships" name="施策優先度" sheetId="10" r:id="R6c8504bcbfd145da"/>
    <x:sheet xmlns:r="http://schemas.openxmlformats.org/officeDocument/2006/relationships" name="収益シナリオ" sheetId="11" r:id="R789f1c850ac54bac"/>
  </x:sheets>
</x:workbook>
</file>

<file path=xl/comments1.xml><?xml version="1.0" encoding="utf-8"?>
<x:comments xmlns:x="http://schemas.openxmlformats.org/spreadsheetml/2006/main">
  <x:authors>
    <x:author>tc={14AEBCBD-159F-3A2A-B6EF-5701A8320B4B}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出典: ローカル『分析レポート』26ファイル。各ファイルのSHA-256は『出典』シートに記録。
Reply:
    共通比較期間は2026-07-07〜2026-07-31。媒体別全期間は各シートで別管理。 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"/>
    <x:numFmt numFmtId="201" formatCode="yyyy-mm-dd"/>
    <x:numFmt numFmtId="202" formatCode="&quot;¥&quot;#,##0"/>
    <x:numFmt numFmtId="203" formatCode="#,##0.0"/>
    <x:numFmt numFmtId="204" formatCode="0.0%"/>
    <x:numFmt numFmtId="205" formatCode="0.00"/>
    <x:numFmt numFmtId="206" formatCode="#,##0.00"/>
    <x:numFmt numFmtId="207" formatCode="0.00%"/>
    <x:numFmt numFmtId="208" formatCode="&quot;¥&quot;#,##0.0"/>
    <x:numFmt numFmtId="209" formatCode="&quot;¥&quot;0.000000"/>
    <x:numFmt numFmtId="210" formatCode="0.00x"/>
  </x:numFmts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334155"/>
      <x:name val="Carlito"/>
    </x:font>
    <x:font>
      <x:b/>
      <x:sz val="10"/>
      <x:color rgb="FFFFFFFF"/>
      <x:name val="Carlito"/>
    </x:font>
    <x:font>
      <x:b/>
      <x:sz val="11"/>
      <x:color rgb="FF0F172A"/>
      <x:name val="Carlito"/>
    </x:font>
    <x:font>
      <x:b/>
      <x:sz val="9"/>
      <x:color rgb="FF334155"/>
      <x:name val="Carlito"/>
    </x:font>
    <x:font>
      <x:b/>
      <x:sz val="18"/>
      <x:color rgb="FF0F172A"/>
      <x:name val="Carlito"/>
    </x:font>
    <x:font>
      <x:b/>
      <x:sz val="10"/>
      <x:color rgb="FF33415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2563EB"/>
      </x:patternFill>
    </x:fill>
    <x:fill>
      <x:patternFill patternType="solid">
        <x:fgColor rgb="FFF59E0B"/>
      </x:patternFill>
    </x:fill>
    <x:fill>
      <x:patternFill patternType="solid">
        <x:fgColor rgb="FFE11D48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FE4E6"/>
      </x:patternFill>
    </x:fill>
  </x:fills>
  <x:borders count="12">
    <x:border/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bottom style="thin">
        <x:color rgb="FFE2E8F0"/>
      </x:bottom>
    </x:border>
    <x:border>
      <x:bottom style="medium">
        <x:color rgb="FF2563E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2" xfId="0" applyNumberFormat="1" applyFont="1" applyFill="1" applyBorder="1" applyAlignment="1">
      <x:alignment vertical="center"/>
    </x:xf>
    <x:xf numFmtId="205" fontId="2" fillId="0" borderId="4" xfId="0" applyNumberFormat="1" applyFont="1" applyFill="1" applyBorder="1" applyAlignment="1">
      <x:alignment vertical="center"/>
    </x:xf>
    <x:xf numFmtId="205" fontId="2" fillId="0" borderId="2" xfId="0" applyNumberFormat="1" applyFont="1" applyFill="1" applyBorder="1" applyAlignment="1">
      <x:alignment vertical="center"/>
    </x:xf>
    <x:xf numFmtId="206" fontId="2" fillId="0" borderId="4" xfId="0" applyNumberFormat="1" applyFont="1" applyFill="1" applyBorder="1" applyAlignment="1">
      <x:alignment vertical="center"/>
    </x:xf>
    <x:xf numFmtId="206" fontId="2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207" fontId="2" fillId="0" borderId="4" xfId="0" applyNumberFormat="1" applyFont="1" applyFill="1" applyBorder="1" applyAlignment="1">
      <x:alignment vertical="center"/>
    </x:xf>
    <x:xf numFmtId="207" fontId="2" fillId="0" borderId="2" xfId="0" applyNumberFormat="1" applyFont="1" applyFill="1" applyBorder="1" applyAlignment="1">
      <x:alignment vertical="center"/>
    </x:xf>
    <x:xf numFmtId="208" fontId="2" fillId="0" borderId="2" xfId="0" applyNumberFormat="1" applyFont="1" applyFill="1" applyBorder="1" applyAlignment="1">
      <x:alignment vertical="center"/>
    </x:xf>
    <x:xf numFmtId="208" fontId="2" fillId="0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/>
    </x:xf>
    <x:xf numFmtId="0" fontId="2" fillId="7" borderId="2" xfId="0" applyNumberFormat="1" applyFont="1" applyFill="1" applyBorder="1" applyAlignment="1">
      <x:alignment vertical="center"/>
    </x:xf>
    <x:xf numFmtId="200" fontId="2" fillId="7" borderId="4" xfId="0" applyNumberFormat="1" applyFont="1" applyFill="1" applyBorder="1" applyAlignment="1">
      <x:alignment vertical="center"/>
    </x:xf>
    <x:xf numFmtId="205" fontId="2" fillId="7" borderId="2" xfId="0" applyNumberFormat="1" applyFont="1" applyFill="1" applyBorder="1" applyAlignment="1">
      <x:alignment vertical="center"/>
    </x:xf>
    <x:xf numFmtId="209" fontId="2" fillId="7" borderId="2" xfId="0" applyNumberFormat="1" applyFont="1" applyFill="1" applyBorder="1" applyAlignment="1">
      <x:alignment vertical="center"/>
    </x:xf>
    <x:xf numFmtId="210" fontId="2" fillId="0" borderId="4" xfId="0" applyNumberFormat="1" applyFont="1" applyFill="1" applyBorder="1" applyAlignment="1">
      <x:alignment vertical="center"/>
    </x:xf>
    <x:xf numFmtId="210" fontId="2" fillId="0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6" xfId="0" applyNumberFormat="1" applyFont="1" applyFill="1" applyBorder="1"/>
    <x:xf numFmtId="0" fontId="6" fillId="8" borderId="7" xfId="0" applyNumberFormat="1" applyFont="1" applyFill="1" applyBorder="1"/>
    <x:xf numFmtId="0" fontId="6" fillId="8" borderId="8" xfId="0" applyNumberFormat="1" applyFont="1" applyFill="1" applyBorder="1"/>
    <x:xf numFmtId="0" fontId="6" fillId="8" borderId="9" xfId="0" applyNumberFormat="1" applyFont="1" applyFill="1" applyBorder="1"/>
    <x:xf numFmtId="0" fontId="6" fillId="8" borderId="4" xfId="0" applyNumberFormat="1" applyFont="1" applyFill="1" applyBorder="1"/>
    <x:xf numFmtId="0" fontId="6" fillId="8" borderId="10" xfId="0" applyNumberFormat="1" applyFont="1" applyFill="1" applyBorder="1"/>
    <x:xf numFmtId="0" fontId="6" fillId="8" borderId="6" xfId="0" applyNumberFormat="1" applyFont="1" applyFill="1" applyBorder="1" applyAlignment="1">
      <x:alignment horizontal="center"/>
    </x:xf>
    <x:xf numFmtId="0" fontId="6" fillId="8" borderId="7" xfId="0" applyNumberFormat="1" applyFont="1" applyFill="1" applyBorder="1" applyAlignment="1">
      <x:alignment horizontal="center"/>
    </x:xf>
    <x:xf numFmtId="0" fontId="6" fillId="8" borderId="8" xfId="0" applyNumberFormat="1" applyFont="1" applyFill="1" applyBorder="1" applyAlignment="1">
      <x:alignment horizontal="center"/>
    </x:xf>
    <x:xf numFmtId="0" fontId="6" fillId="8" borderId="9" xfId="0" applyNumberFormat="1" applyFont="1" applyFill="1" applyBorder="1" applyAlignment="1">
      <x:alignment horizontal="center"/>
    </x:xf>
    <x:xf numFmtId="0" fontId="6" fillId="8" borderId="4" xfId="0" applyNumberFormat="1" applyFont="1" applyFill="1" applyBorder="1" applyAlignment="1">
      <x:alignment horizontal="center"/>
    </x:xf>
    <x:xf numFmtId="0" fontId="6" fillId="8" borderId="10" xfId="0" applyNumberFormat="1" applyFont="1" applyFill="1" applyBorder="1" applyAlignment="1">
      <x:alignment horizontal="center"/>
    </x:xf>
    <x:xf numFmtId="0" fontId="6" fillId="8" borderId="6" xfId="0" applyNumberFormat="1" applyFont="1" applyFill="1" applyBorder="1" applyAlignment="1">
      <x:alignment horizontal="center" vertical="center"/>
    </x:xf>
    <x:xf numFmtId="0" fontId="6" fillId="8" borderId="7" xfId="0" applyNumberFormat="1" applyFont="1" applyFill="1" applyBorder="1" applyAlignment="1">
      <x:alignment horizontal="center" vertical="center"/>
    </x:xf>
    <x:xf numFmtId="0" fontId="6" fillId="8" borderId="8" xfId="0" applyNumberFormat="1" applyFont="1" applyFill="1" applyBorder="1" applyAlignment="1">
      <x:alignment horizontal="center" vertical="center"/>
    </x:xf>
    <x:xf numFmtId="0" fontId="6" fillId="8" borderId="9" xfId="0" applyNumberFormat="1" applyFont="1" applyFill="1" applyBorder="1" applyAlignment="1">
      <x:alignment horizontal="center" vertical="center"/>
    </x:xf>
    <x:xf numFmtId="0" fontId="6" fillId="8" borderId="4" xfId="0" applyNumberFormat="1" applyFont="1" applyFill="1" applyBorder="1" applyAlignment="1">
      <x:alignment horizontal="center" vertical="center"/>
    </x:xf>
    <x:xf numFmtId="0" fontId="6" fillId="8" borderId="10" xfId="0" applyNumberFormat="1" applyFont="1" applyFill="1" applyBorder="1" applyAlignment="1">
      <x:alignment horizontal="center" vertical="center"/>
    </x:xf>
    <x:xf numFmtId="202" fontId="6" fillId="8" borderId="6" xfId="0" applyNumberFormat="1" applyFont="1" applyFill="1" applyBorder="1" applyAlignment="1">
      <x:alignment horizontal="center" vertical="center"/>
    </x:xf>
    <x:xf numFmtId="202" fontId="6" fillId="8" borderId="7" xfId="0" applyNumberFormat="1" applyFont="1" applyFill="1" applyBorder="1" applyAlignment="1">
      <x:alignment horizontal="center" vertical="center"/>
    </x:xf>
    <x:xf numFmtId="202" fontId="6" fillId="8" borderId="8" xfId="0" applyNumberFormat="1" applyFont="1" applyFill="1" applyBorder="1" applyAlignment="1">
      <x:alignment horizontal="center" vertical="center"/>
    </x:xf>
    <x:xf numFmtId="202" fontId="6" fillId="8" borderId="9" xfId="0" applyNumberFormat="1" applyFont="1" applyFill="1" applyBorder="1" applyAlignment="1">
      <x:alignment horizontal="center" vertical="center"/>
    </x:xf>
    <x:xf numFmtId="202" fontId="6" fillId="8" borderId="4" xfId="0" applyNumberFormat="1" applyFont="1" applyFill="1" applyBorder="1" applyAlignment="1">
      <x:alignment horizontal="center" vertical="center"/>
    </x:xf>
    <x:xf numFmtId="202" fontId="6" fillId="8" borderId="10" xfId="0" applyNumberFormat="1" applyFont="1" applyFill="1" applyBorder="1" applyAlignment="1">
      <x:alignment horizontal="center" vertical="center"/>
    </x:xf>
    <x:xf numFmtId="200" fontId="6" fillId="8" borderId="6" xfId="0" applyNumberFormat="1" applyFont="1" applyFill="1" applyBorder="1" applyAlignment="1">
      <x:alignment horizontal="center" vertical="center"/>
    </x:xf>
    <x:xf numFmtId="200" fontId="6" fillId="8" borderId="7" xfId="0" applyNumberFormat="1" applyFont="1" applyFill="1" applyBorder="1" applyAlignment="1">
      <x:alignment horizontal="center" vertical="center"/>
    </x:xf>
    <x:xf numFmtId="200" fontId="6" fillId="8" borderId="8" xfId="0" applyNumberFormat="1" applyFont="1" applyFill="1" applyBorder="1" applyAlignment="1">
      <x:alignment horizontal="center" vertical="center"/>
    </x:xf>
    <x:xf numFmtId="200" fontId="6" fillId="8" borderId="9" xfId="0" applyNumberFormat="1" applyFont="1" applyFill="1" applyBorder="1" applyAlignment="1">
      <x:alignment horizontal="center" vertical="center"/>
    </x:xf>
    <x:xf numFmtId="200" fontId="6" fillId="8" borderId="4" xfId="0" applyNumberFormat="1" applyFont="1" applyFill="1" applyBorder="1" applyAlignment="1">
      <x:alignment horizontal="center" vertical="center"/>
    </x:xf>
    <x:xf numFmtId="200" fontId="6" fillId="8" borderId="10" xfId="0" applyNumberFormat="1" applyFont="1" applyFill="1" applyBorder="1" applyAlignment="1">
      <x:alignment horizontal="center" vertical="center"/>
    </x:xf>
    <x:xf numFmtId="204" fontId="6" fillId="8" borderId="6" xfId="0" applyNumberFormat="1" applyFont="1" applyFill="1" applyBorder="1" applyAlignment="1">
      <x:alignment horizontal="center" vertical="center"/>
    </x:xf>
    <x:xf numFmtId="204" fontId="6" fillId="8" borderId="7" xfId="0" applyNumberFormat="1" applyFont="1" applyFill="1" applyBorder="1" applyAlignment="1">
      <x:alignment horizontal="center" vertical="center"/>
    </x:xf>
    <x:xf numFmtId="204" fontId="6" fillId="8" borderId="8" xfId="0" applyNumberFormat="1" applyFont="1" applyFill="1" applyBorder="1" applyAlignment="1">
      <x:alignment horizontal="center" vertical="center"/>
    </x:xf>
    <x:xf numFmtId="204" fontId="6" fillId="8" borderId="9" xfId="0" applyNumberFormat="1" applyFont="1" applyFill="1" applyBorder="1" applyAlignment="1">
      <x:alignment horizontal="center" vertical="center"/>
    </x:xf>
    <x:xf numFmtId="204" fontId="6" fillId="8" borderId="4" xfId="0" applyNumberFormat="1" applyFont="1" applyFill="1" applyBorder="1" applyAlignment="1">
      <x:alignment horizontal="center" vertical="center"/>
    </x:xf>
    <x:xf numFmtId="204" fontId="6" fillId="8" borderId="1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4" xfId="0" applyNumberFormat="1" applyFont="1" applyFill="1" applyBorder="1"/>
    <x:xf numFmtId="0" fontId="6" fillId="7" borderId="10" xfId="0" applyNumberFormat="1" applyFont="1" applyFill="1" applyBorder="1"/>
    <x:xf numFmtId="0" fontId="6" fillId="7" borderId="6" xfId="0" applyNumberFormat="1" applyFont="1" applyFill="1" applyBorder="1" applyAlignment="1">
      <x:alignment horizontal="center"/>
    </x:xf>
    <x:xf numFmtId="0" fontId="6" fillId="7" borderId="7" xfId="0" applyNumberFormat="1" applyFont="1" applyFill="1" applyBorder="1" applyAlignment="1">
      <x:alignment horizontal="center"/>
    </x:xf>
    <x:xf numFmtId="0" fontId="6" fillId="7" borderId="8" xfId="0" applyNumberFormat="1" applyFont="1" applyFill="1" applyBorder="1" applyAlignment="1">
      <x:alignment horizontal="center"/>
    </x:xf>
    <x:xf numFmtId="0" fontId="6" fillId="7" borderId="9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 applyAlignment="1">
      <x:alignment horizontal="center"/>
    </x:xf>
    <x:xf numFmtId="0" fontId="6" fillId="7" borderId="10" xfId="0" applyNumberFormat="1" applyFont="1" applyFill="1" applyBorder="1" applyAlignment="1">
      <x:alignment horizontal="center"/>
    </x:xf>
    <x:xf numFmtId="0" fontId="6" fillId="7" borderId="6" xfId="0" applyNumberFormat="1" applyFont="1" applyFill="1" applyBorder="1" applyAlignment="1">
      <x:alignment horizontal="center" vertical="center"/>
    </x:xf>
    <x:xf numFmtId="0" fontId="6" fillId="7" borderId="7" xfId="0" applyNumberFormat="1" applyFont="1" applyFill="1" applyBorder="1" applyAlignment="1">
      <x:alignment horizontal="center" vertical="center"/>
    </x:xf>
    <x:xf numFmtId="0" fontId="6" fillId="7" borderId="8" xfId="0" applyNumberFormat="1" applyFont="1" applyFill="1" applyBorder="1" applyAlignment="1">
      <x:alignment horizontal="center" vertical="center"/>
    </x:xf>
    <x:xf numFmtId="0" fontId="6" fillId="7" borderId="9" xfId="0" applyNumberFormat="1" applyFont="1" applyFill="1" applyBorder="1" applyAlignment="1">
      <x:alignment horizontal="center" vertical="center"/>
    </x:xf>
    <x:xf numFmtId="0" fontId="6" fillId="7" borderId="4" xfId="0" applyNumberFormat="1" applyFont="1" applyFill="1" applyBorder="1" applyAlignment="1">
      <x:alignment horizontal="center" vertical="center"/>
    </x:xf>
    <x:xf numFmtId="0" fontId="6" fillId="7" borderId="10" xfId="0" applyNumberFormat="1" applyFont="1" applyFill="1" applyBorder="1" applyAlignment="1">
      <x:alignment horizontal="center" vertical="center"/>
    </x:xf>
    <x:xf numFmtId="204" fontId="6" fillId="7" borderId="6" xfId="0" applyNumberFormat="1" applyFont="1" applyFill="1" applyBorder="1" applyAlignment="1">
      <x:alignment horizontal="center" vertical="center"/>
    </x:xf>
    <x:xf numFmtId="204" fontId="6" fillId="7" borderId="7" xfId="0" applyNumberFormat="1" applyFont="1" applyFill="1" applyBorder="1" applyAlignment="1">
      <x:alignment horizontal="center" vertical="center"/>
    </x:xf>
    <x:xf numFmtId="204" fontId="6" fillId="7" borderId="8" xfId="0" applyNumberFormat="1" applyFont="1" applyFill="1" applyBorder="1" applyAlignment="1">
      <x:alignment horizontal="center" vertical="center"/>
    </x:xf>
    <x:xf numFmtId="204" fontId="6" fillId="7" borderId="9" xfId="0" applyNumberFormat="1" applyFont="1" applyFill="1" applyBorder="1" applyAlignment="1">
      <x:alignment horizontal="center" vertical="center"/>
    </x:xf>
    <x:xf numFmtId="204" fontId="6" fillId="7" borderId="4" xfId="0" applyNumberFormat="1" applyFont="1" applyFill="1" applyBorder="1" applyAlignment="1">
      <x:alignment horizontal="center" vertical="center"/>
    </x:xf>
    <x:xf numFmtId="204" fontId="6" fillId="7" borderId="1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6" xfId="0" applyNumberFormat="1" applyFont="1" applyFill="1" applyBorder="1"/>
    <x:xf numFmtId="0" fontId="6" fillId="9" borderId="7" xfId="0" applyNumberFormat="1" applyFont="1" applyFill="1" applyBorder="1"/>
    <x:xf numFmtId="0" fontId="6" fillId="9" borderId="8" xfId="0" applyNumberFormat="1" applyFont="1" applyFill="1" applyBorder="1"/>
    <x:xf numFmtId="0" fontId="6" fillId="9" borderId="9" xfId="0" applyNumberFormat="1" applyFont="1" applyFill="1" applyBorder="1"/>
    <x:xf numFmtId="0" fontId="6" fillId="9" borderId="4" xfId="0" applyNumberFormat="1" applyFont="1" applyFill="1" applyBorder="1"/>
    <x:xf numFmtId="0" fontId="6" fillId="9" borderId="10" xfId="0" applyNumberFormat="1" applyFont="1" applyFill="1" applyBorder="1"/>
    <x:xf numFmtId="0" fontId="6" fillId="9" borderId="6" xfId="0" applyNumberFormat="1" applyFont="1" applyFill="1" applyBorder="1" applyAlignment="1">
      <x:alignment horizontal="center"/>
    </x:xf>
    <x:xf numFmtId="0" fontId="6" fillId="9" borderId="7" xfId="0" applyNumberFormat="1" applyFont="1" applyFill="1" applyBorder="1" applyAlignment="1">
      <x:alignment horizontal="center"/>
    </x:xf>
    <x:xf numFmtId="0" fontId="6" fillId="9" borderId="8" xfId="0" applyNumberFormat="1" applyFont="1" applyFill="1" applyBorder="1" applyAlignment="1">
      <x:alignment horizontal="center"/>
    </x:xf>
    <x:xf numFmtId="0" fontId="6" fillId="9" borderId="9" xfId="0" applyNumberFormat="1" applyFont="1" applyFill="1" applyBorder="1" applyAlignment="1">
      <x:alignment horizontal="center"/>
    </x:xf>
    <x:xf numFmtId="0" fontId="6" fillId="9" borderId="4" xfId="0" applyNumberFormat="1" applyFont="1" applyFill="1" applyBorder="1" applyAlignment="1">
      <x:alignment horizontal="center"/>
    </x:xf>
    <x:xf numFmtId="0" fontId="6" fillId="9" borderId="10" xfId="0" applyNumberFormat="1" applyFont="1" applyFill="1" applyBorder="1" applyAlignment="1">
      <x:alignment horizontal="center"/>
    </x:xf>
    <x:xf numFmtId="0" fontId="6" fillId="9" borderId="6" xfId="0" applyNumberFormat="1" applyFont="1" applyFill="1" applyBorder="1" applyAlignment="1">
      <x:alignment horizontal="center" vertical="center"/>
    </x:xf>
    <x:xf numFmtId="0" fontId="6" fillId="9" borderId="7" xfId="0" applyNumberFormat="1" applyFont="1" applyFill="1" applyBorder="1" applyAlignment="1">
      <x:alignment horizontal="center" vertical="center"/>
    </x:xf>
    <x:xf numFmtId="0" fontId="6" fillId="9" borderId="8" xfId="0" applyNumberFormat="1" applyFont="1" applyFill="1" applyBorder="1" applyAlignment="1">
      <x:alignment horizontal="center" vertical="center"/>
    </x:xf>
    <x:xf numFmtId="0" fontId="6" fillId="9" borderId="9" xfId="0" applyNumberFormat="1" applyFont="1" applyFill="1" applyBorder="1" applyAlignment="1">
      <x:alignment horizontal="center" vertical="center"/>
    </x:xf>
    <x:xf numFmtId="0" fontId="6" fillId="9" borderId="4" xfId="0" applyNumberFormat="1" applyFont="1" applyFill="1" applyBorder="1" applyAlignment="1">
      <x:alignment horizontal="center" vertical="center"/>
    </x:xf>
    <x:xf numFmtId="0" fontId="6" fillId="9" borderId="10" xfId="0" applyNumberFormat="1" applyFont="1" applyFill="1" applyBorder="1" applyAlignment="1">
      <x:alignment horizontal="center" vertical="center"/>
    </x:xf>
    <x:xf numFmtId="200" fontId="6" fillId="9" borderId="6" xfId="0" applyNumberFormat="1" applyFont="1" applyFill="1" applyBorder="1" applyAlignment="1">
      <x:alignment horizontal="center" vertical="center"/>
    </x:xf>
    <x:xf numFmtId="200" fontId="6" fillId="9" borderId="7" xfId="0" applyNumberFormat="1" applyFont="1" applyFill="1" applyBorder="1" applyAlignment="1">
      <x:alignment horizontal="center" vertical="center"/>
    </x:xf>
    <x:xf numFmtId="200" fontId="6" fillId="9" borderId="8" xfId="0" applyNumberFormat="1" applyFont="1" applyFill="1" applyBorder="1" applyAlignment="1">
      <x:alignment horizontal="center" vertical="center"/>
    </x:xf>
    <x:xf numFmtId="200" fontId="6" fillId="9" borderId="9" xfId="0" applyNumberFormat="1" applyFont="1" applyFill="1" applyBorder="1" applyAlignment="1">
      <x:alignment horizontal="center" vertical="center"/>
    </x:xf>
    <x:xf numFmtId="200" fontId="6" fillId="9" borderId="4" xfId="0" applyNumberFormat="1" applyFont="1" applyFill="1" applyBorder="1" applyAlignment="1">
      <x:alignment horizontal="center" vertical="center"/>
    </x:xf>
    <x:xf numFmtId="200" fontId="6" fillId="9" borderId="1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d2756cc064480" /><Relationship Type="http://schemas.openxmlformats.org/officeDocument/2006/relationships/theme" Target="/xl/theme/theme1.xml" Id="Rb72f902c88c347ad" /><Relationship Type="http://schemas.openxmlformats.org/officeDocument/2006/relationships/sharedStrings" Target="/xl/sharedStrings.xml" Id="R8934af2eb8134ba9" /><Relationship Type="http://schemas.openxmlformats.org/officeDocument/2006/relationships/worksheet" Target="/xl/worksheets/sheet1.xml" Id="Rf70f58082f1a4144" /><Relationship Type="http://schemas.openxmlformats.org/officeDocument/2006/relationships/worksheet" Target="/xl/worksheets/sheet2.xml" Id="Rdaed82ff16b54571" /><Relationship Type="http://schemas.openxmlformats.org/officeDocument/2006/relationships/worksheet" Target="/xl/worksheets/sheet3.xml" Id="R836fcfeba5ad4eae" /><Relationship Type="http://schemas.openxmlformats.org/officeDocument/2006/relationships/worksheet" Target="/xl/worksheets/sheet4.xml" Id="Rd84346bf9a014e5d" /><Relationship Type="http://schemas.openxmlformats.org/officeDocument/2006/relationships/worksheet" Target="/xl/worksheets/sheet5.xml" Id="R6420b29ee4c749ab" /><Relationship Type="http://schemas.openxmlformats.org/officeDocument/2006/relationships/worksheet" Target="/xl/worksheets/sheet6.xml" Id="Rf63db40910a64592" /><Relationship Type="http://schemas.openxmlformats.org/officeDocument/2006/relationships/worksheet" Target="/xl/worksheets/sheet7.xml" Id="Rd5b3bb1014e64be2" /><Relationship Type="http://schemas.openxmlformats.org/officeDocument/2006/relationships/worksheet" Target="/xl/worksheets/sheet8.xml" Id="R2d6726f1fb3b4a94" /><Relationship Type="http://schemas.openxmlformats.org/officeDocument/2006/relationships/worksheet" Target="/xl/worksheets/sheet9.xml" Id="R7c50d18ce1874819" /><Relationship Type="http://schemas.openxmlformats.org/officeDocument/2006/relationships/worksheet" Target="/xl/worksheets/sheet10.xml" Id="R6c8504bcbfd145da" /><Relationship Type="http://schemas.openxmlformats.org/officeDocument/2006/relationships/worksheet" Target="/xl/worksheets/sheet11.xml" Id="R789f1c850ac54bac" /><Relationship Type="http://schemas.microsoft.com/office/2017/10/relationships/person" Target="/xl/persons/person.xml" Id="R9ea0a6a4c8f04b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12d7d683ee4c1f" /><Relationship Type="http://schemas.openxmlformats.org/officeDocument/2006/relationships/chart" Target="/xl/drawings/charts/chart2.xml" Id="R8113fbcea3e04e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検索流入と広告収益の日次推移</a:t>
            </a:r>
          </a:p>
        </c:rich>
      </c:tx>
    </c:title>
    <c:plotArea>
      <c:lineChart>
        <c:grouping val="standard"/>
        <c:ser>
          <c:idx val="0"/>
          <c:order val="0"/>
          <c:tx>
            <c:v>AdSense収益</c:v>
          </c:tx>
          <c:marker>
            <c:symbol val="none"/>
          </c:marker>
          <c:cat>
            <c:strRef>
              <c:f>'概要'!$A$23:$A$47</c:f>
              <c:strCache>
                <c:ptCount val="0"/>
              </c:strCache>
            </c:strRef>
          </c:cat>
          <c:val>
            <c:numRef>
              <c:f>'概要'!$B$23:$B$47</c:f>
              <c:numCache>
                <c:formatCode>"¥"#,##0</c:formatCode>
                <c:ptCount val="0"/>
              </c:numCache>
            </c:numRef>
          </c:val>
        </c:ser>
        <c:ser>
          <c:idx val="1"/>
          <c:order val="1"/>
          <c:tx>
            <c:v>検索click</c:v>
          </c:tx>
          <c:marker>
            <c:symbol val="none"/>
          </c:marker>
          <c:cat>
            <c:strRef>
              <c:f>'概要'!$A$23:$A$47</c:f>
              <c:strCache>
                <c:ptCount val="0"/>
              </c:strCache>
            </c:strRef>
          </c:cat>
          <c:val>
            <c:numRef>
              <c:f>'概要'!$C$23:$C$47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記事が検索獲得、レース詳細が回遊を担う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検索click</c:v>
          </c:tx>
          <c:cat>
            <c:strRef>
              <c:f>'概要'!$A$52:$A$60</c:f>
              <c:strCache>
                <c:ptCount val="0"/>
              </c:strCache>
            </c:strRef>
          </c:cat>
          <c:val>
            <c:numRef>
              <c:f>'概要'!$B$52:$B$60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21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12d7d683ee4c1f"/>
        </a:graphicData>
      </a:graphic>
    </xdr:graphicFrame>
    <xdr:clientData/>
  </xdr:twoCellAnchor>
  <xdr:twoCellAnchor>
    <xdr:from>
      <xdr:col>4</xdr:col>
      <xdr:colOff>0</xdr:colOff>
      <xdr:row>50</xdr:row>
      <xdr:rowOff>0</xdr:rowOff>
    </xdr:from>
    <xdr:to>
      <xdr:col>17</xdr:col>
      <xdr:colOff>0</xdr:colOff>
      <xdr:row>66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13fbcea3e04e3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FF8FA157-E8E1-4038-B788-0EC9E33B942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2" dT="2026-08-02T17:52:13.965" personId="{FF8FA157-E8E1-4038-B788-0EC9E33B9424}" id="{14AEBCBD-159F-3A2A-B6EF-5701A8320B4B}">
    <xltc:text>出典: ローカル『分析レポート』26ファイル。各ファイルのSHA-256は『出典』シートに記録。</xltc:text>
  </xltc:threadedComment>
  <xltc:threadedComment ref="A2" dT="2026-08-02T17:52:13.969" personId="{FF8FA157-E8E1-4038-B788-0EC9E33B9424}" id="{50560A5F-F041-4291-8A6A-60DA6EBB890F}" parentId="{14AEBCBD-159F-3A2A-B6EF-5701A8320B4B}">
    <xltc:text>共通比較期間は2026-07-07〜2026-07-31。媒体別全期間は各シートで別管理。 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29ef088e13b42fe" /><Relationship Type="http://schemas.openxmlformats.org/officeDocument/2006/relationships/vmlDrawing" Target="/xl/drawings/vmldrawing.vml" Id="R8fc5ce24a8c04fb6" /><Relationship Type="http://schemas.microsoft.com/office/2017/10/relationships/threadedComment" Target="/xl/threadedcomments/threadedcomment.xml" Id="Re291b737de4e4c99" /><Relationship Type="http://schemas.openxmlformats.org/officeDocument/2006/relationships/drawing" Target="/xl/drawings/drawing1.xml" Id="Rbbb6a0d7b9af46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3" hidden="0" customWidth="1"/>
    <x:col min="5" max="5" width="12" hidden="0" customWidth="1"/>
    <x:col min="6" max="6" width="12" hidden="0" customWidth="1"/>
    <x:col min="7" max="7" width="12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3" hidden="0" customWidth="1"/>
    <x:col min="13" max="13" width="12" hidden="0" customWidth="1"/>
    <x:col min="14" max="14" width="12" hidden="0" customWidth="1"/>
    <x:col min="15" max="15" width="12" hidden="0" customWidth="1"/>
    <x:col min="16" max="16" width="3" hidden="0" customWidth="1"/>
    <x:col min="17" max="17" width="12" hidden="0" customWidth="1"/>
  </x:cols>
  <x:sheetData>
    <x:row r="1" ht="34" customHeight="1">
      <x:c r="A1" s="3" t="str">
        <x:v>UMA-FREE 全流入・回遊・広告収益分析</x:v>
      </x:c>
      <x:c r="B1" s="3" t="str">
        <x:v>UMA-FREE 全流入・回遊・広告収益分析</x:v>
      </x:c>
      <x:c r="C1" s="3" t="str">
        <x:v>UMA-FREE 全流入・回遊・広告収益分析</x:v>
      </x:c>
      <x:c r="D1" s="3" t="str">
        <x:v>UMA-FREE 全流入・回遊・広告収益分析</x:v>
      </x:c>
      <x:c r="E1" s="3" t="str">
        <x:v>UMA-FREE 全流入・回遊・広告収益分析</x:v>
      </x:c>
      <x:c r="F1" s="3" t="str">
        <x:v>UMA-FREE 全流入・回遊・広告収益分析</x:v>
      </x:c>
      <x:c r="G1" s="3" t="str">
        <x:v>UMA-FREE 全流入・回遊・広告収益分析</x:v>
      </x:c>
      <x:c r="H1" s="3" t="str">
        <x:v>UMA-FREE 全流入・回遊・広告収益分析</x:v>
      </x:c>
      <x:c r="I1" s="3" t="str">
        <x:v>UMA-FREE 全流入・回遊・広告収益分析</x:v>
      </x:c>
      <x:c r="J1" s="3" t="str">
        <x:v>UMA-FREE 全流入・回遊・広告収益分析</x:v>
      </x:c>
      <x:c r="K1" s="3" t="str">
        <x:v>UMA-FREE 全流入・回遊・広告収益分析</x:v>
      </x:c>
      <x:c r="L1" s="3" t="str">
        <x:v>UMA-FREE 全流入・回遊・広告収益分析</x:v>
      </x:c>
      <x:c r="M1" s="3" t="str">
        <x:v>UMA-FREE 全流入・回遊・広告収益分析</x:v>
      </x:c>
      <x:c r="N1" s="3" t="str">
        <x:v>UMA-FREE 全流入・回遊・広告収益分析</x:v>
      </x:c>
      <x:c r="O1" s="3" t="str">
        <x:v>UMA-FREE 全流入・回遊・広告収益分析</x:v>
      </x:c>
      <x:c r="P1" s="3" t="str">
        <x:v>UMA-FREE 全流入・回遊・広告収益分析</x:v>
      </x:c>
      <x:c r="Q1" s="3" t="str">
        <x:v>UMA-FREE 全流入・回遊・広告収益分析</x:v>
      </x:c>
    </x:row>
    <x:row r="2" ht="28" customHeight="1">
      <x:c r="A2" s="7" t="str">
        <x:v>全26ファイル / 共通比較期間 2026-07-07〜2026-07-31 / monetization-report.v1</x:v>
      </x:c>
      <x:c r="B2" s="7" t="str">
        <x:v>全26ファイル / 共通比較期間 2026-07-07〜2026-07-31 / monetization-report.v1</x:v>
      </x:c>
      <x:c r="C2" s="7" t="str">
        <x:v>全26ファイル / 共通比較期間 2026-07-07〜2026-07-31 / monetization-report.v1</x:v>
      </x:c>
      <x:c r="D2" s="7" t="str">
        <x:v>全26ファイル / 共通比較期間 2026-07-07〜2026-07-31 / monetization-report.v1</x:v>
      </x:c>
      <x:c r="E2" s="7" t="str">
        <x:v>全26ファイル / 共通比較期間 2026-07-07〜2026-07-31 / monetization-report.v1</x:v>
      </x:c>
      <x:c r="F2" s="7" t="str">
        <x:v>全26ファイル / 共通比較期間 2026-07-07〜2026-07-31 / monetization-report.v1</x:v>
      </x:c>
      <x:c r="G2" s="7" t="str">
        <x:v>全26ファイル / 共通比較期間 2026-07-07〜2026-07-31 / monetization-report.v1</x:v>
      </x:c>
      <x:c r="H2" s="7" t="str">
        <x:v>全26ファイル / 共通比較期間 2026-07-07〜2026-07-31 / monetization-report.v1</x:v>
      </x:c>
      <x:c r="I2" s="7" t="str">
        <x:v>全26ファイル / 共通比較期間 2026-07-07〜2026-07-31 / monetization-report.v1</x:v>
      </x:c>
      <x:c r="J2" s="7" t="str">
        <x:v>全26ファイル / 共通比較期間 2026-07-07〜2026-07-31 / monetization-report.v1</x:v>
      </x:c>
      <x:c r="K2" s="7" t="str">
        <x:v>全26ファイル / 共通比較期間 2026-07-07〜2026-07-31 / monetization-report.v1</x:v>
      </x:c>
      <x:c r="L2" s="7" t="str">
        <x:v>全26ファイル / 共通比較期間 2026-07-07〜2026-07-31 / monetization-report.v1</x:v>
      </x:c>
      <x:c r="M2" s="7" t="str">
        <x:v>全26ファイル / 共通比較期間 2026-07-07〜2026-07-31 / monetization-report.v1</x:v>
      </x:c>
      <x:c r="N2" s="7" t="str">
        <x:v>全26ファイル / 共通比較期間 2026-07-07〜2026-07-31 / monetization-report.v1</x:v>
      </x:c>
      <x:c r="O2" s="7" t="str">
        <x:v>全26ファイル / 共通比較期間 2026-07-07〜2026-07-31 / monetization-report.v1</x:v>
      </x:c>
      <x:c r="P2" s="7" t="str">
        <x:v>全26ファイル / 共通比較期間 2026-07-07〜2026-07-31 / monetization-report.v1</x:v>
      </x:c>
      <x:c r="Q2" s="7" t="str">
        <x:v>全26ファイル / 共通比較期間 2026-07-07〜2026-07-31 / monetization-report.v1</x:v>
      </x:c>
    </x:row>
    <x:row r="4" ht="24" customHeight="1">
      <x:c r="A4" s="41" t="str">
        <x:v>主要KPI</x:v>
      </x:c>
      <x:c r="B4" s="41" t="str">
        <x:v>主要KPI</x:v>
      </x:c>
      <x:c r="C4" s="41" t="str">
        <x:v>主要KPI</x:v>
      </x:c>
      <x:c r="D4" s="41" t="str">
        <x:v>主要KPI</x:v>
      </x:c>
      <x:c r="E4" s="41" t="str">
        <x:v>主要KPI</x:v>
      </x:c>
      <x:c r="F4" s="41" t="str">
        <x:v>主要KPI</x:v>
      </x:c>
      <x:c r="G4" s="41" t="str">
        <x:v>主要KPI</x:v>
      </x:c>
      <x:c r="H4" s="41" t="str">
        <x:v>主要KPI</x:v>
      </x:c>
      <x:c r="I4" s="41" t="str">
        <x:v>主要KPI</x:v>
      </x:c>
      <x:c r="J4" s="41" t="str">
        <x:v>主要KPI</x:v>
      </x:c>
      <x:c r="K4" s="41" t="str">
        <x:v>主要KPI</x:v>
      </x:c>
      <x:c r="L4" s="41" t="str">
        <x:v>主要KPI</x:v>
      </x:c>
      <x:c r="M4" s="41" t="str">
        <x:v>主要KPI</x:v>
      </x:c>
      <x:c r="N4" s="41" t="str">
        <x:v>主要KPI</x:v>
      </x:c>
      <x:c r="O4" s="41" t="str">
        <x:v>主要KPI</x:v>
      </x:c>
      <x:c r="P4" s="41" t="str">
        <x:v>主要KPI</x:v>
      </x:c>
      <x:c r="Q4" s="41" t="str">
        <x:v>主要KPI</x:v>
      </x:c>
    </x:row>
    <x:row r="5">
      <x:c r="A5" s="75" t="str">
        <x:v>AdSense収益</x:v>
      </x:c>
      <x:c r="B5" s="75" t="str">
        <x:v>AdSense収益</x:v>
      </x:c>
      <x:c r="C5" s="75" t="str">
        <x:v>AdSense収益</x:v>
      </x:c>
      <x:c r="E5" s="75" t="str">
        <x:v>Page RPM</x:v>
      </x:c>
      <x:c r="F5" s="75" t="str">
        <x:v>Page RPM</x:v>
      </x:c>
      <x:c r="G5" s="75" t="str">
        <x:v>Page RPM</x:v>
      </x:c>
      <x:c r="I5" s="75" t="str">
        <x:v>検索click</x:v>
      </x:c>
      <x:c r="J5" s="75" t="str">
        <x:v>検索click</x:v>
      </x:c>
      <x:c r="K5" s="75" t="str">
        <x:v>検索click</x:v>
      </x:c>
      <x:c r="M5" s="75" t="str">
        <x:v>記事click構成</x:v>
      </x:c>
      <x:c r="N5" s="75" t="str">
        <x:v>記事click構成</x:v>
      </x:c>
      <x:c r="O5" s="75" t="str">
        <x:v>記事click構成</x:v>
      </x:c>
    </x:row>
    <x:row r="6" ht="26" customHeight="1">
      <x:c r="A6" s="96" t="n">
        <x:f>'広告'!B6</x:f>
        <x:v>1666</x:v>
      </x:c>
      <x:c r="B6" s="97"/>
      <x:c r="C6" s="98"/>
      <x:c r="E6" s="96" t="n">
        <x:f>'広告'!B8</x:f>
        <x:v>257.2972972972973</x:v>
      </x:c>
      <x:c r="F6" s="97"/>
      <x:c r="G6" s="98"/>
      <x:c r="I6" s="102" t="n">
        <x:f>SUM('SEO'!C6:C14)</x:f>
        <x:v>1397</x:v>
      </x:c>
      <x:c r="J6" s="103"/>
      <x:c r="K6" s="104"/>
      <x:c r="M6" s="108" t="n">
        <x:f>IFERROR(INDEX('SEO'!D6:D14,MATCH("article",'SEO'!A6:A14,0)),0)</x:f>
        <x:v>0.683608</x:v>
      </x:c>
      <x:c r="N6" s="109"/>
      <x:c r="O6" s="110"/>
    </x:row>
    <x:row r="7" ht="26" customHeight="1">
      <x:c r="A7" s="99"/>
      <x:c r="B7" s="100"/>
      <x:c r="C7" s="101"/>
      <x:c r="E7" s="99"/>
      <x:c r="F7" s="100"/>
      <x:c r="G7" s="101"/>
      <x:c r="I7" s="105"/>
      <x:c r="J7" s="106"/>
      <x:c r="K7" s="107"/>
      <x:c r="M7" s="111"/>
      <x:c r="N7" s="112"/>
      <x:c r="O7" s="113"/>
    </x:row>
    <x:row r="9">
      <x:c r="A9" s="75" t="str">
        <x:v>モバイルclick構成</x:v>
      </x:c>
      <x:c r="B9" s="75" t="str">
        <x:v>モバイルclick構成</x:v>
      </x:c>
      <x:c r="C9" s="75" t="str">
        <x:v>モバイルclick構成</x:v>
      </x:c>
      <x:c r="E9" s="75" t="str">
        <x:v>race→予想表</x:v>
      </x:c>
      <x:c r="F9" s="75" t="str">
        <x:v>race→予想表</x:v>
      </x:c>
      <x:c r="G9" s="75" t="str">
        <x:v>race→予想表</x:v>
      </x:c>
      <x:c r="I9" s="75" t="str">
        <x:v>race→巡回</x:v>
      </x:c>
      <x:c r="J9" s="75" t="str">
        <x:v>race→巡回</x:v>
      </x:c>
      <x:c r="K9" s="75" t="str">
        <x:v>race→巡回</x:v>
      </x:c>
      <x:c r="M9" s="75" t="str">
        <x:v>楽天発生</x:v>
      </x:c>
      <x:c r="N9" s="75" t="str">
        <x:v>楽天発生</x:v>
      </x:c>
      <x:c r="O9" s="75" t="str">
        <x:v>楽天発生</x:v>
      </x:c>
    </x:row>
    <x:row r="10" ht="26" customHeight="1">
      <x:c r="A10" s="108" t="n">
        <x:f>1202/1371</x:f>
        <x:v>0.8767323121808899</x:v>
      </x:c>
      <x:c r="B10" s="109"/>
      <x:c r="C10" s="110"/>
      <x:c r="E10" s="134" t="n">
        <x:f>'回遊'!B6</x:f>
        <x:v>0.934741</x:v>
      </x:c>
      <x:c r="F10" s="135"/>
      <x:c r="G10" s="136"/>
      <x:c r="I10" s="134" t="n">
        <x:f>'回遊'!B7</x:f>
        <x:v>0.619962</x:v>
      </x:c>
      <x:c r="J10" s="135"/>
      <x:c r="K10" s="136"/>
      <x:c r="M10" s="160" t="n">
        <x:f>'アフィリエイト'!B7</x:f>
        <x:v>0</x:v>
      </x:c>
      <x:c r="N10" s="161"/>
      <x:c r="O10" s="162"/>
    </x:row>
    <x:row r="11" ht="26" customHeight="1">
      <x:c r="A11" s="111"/>
      <x:c r="B11" s="112"/>
      <x:c r="C11" s="113"/>
      <x:c r="E11" s="137"/>
      <x:c r="F11" s="138"/>
      <x:c r="G11" s="139"/>
      <x:c r="I11" s="137"/>
      <x:c r="J11" s="138"/>
      <x:c r="K11" s="139"/>
      <x:c r="M11" s="163"/>
      <x:c r="N11" s="164"/>
      <x:c r="O11" s="165"/>
    </x:row>
    <x:row r="14" ht="24" customHeight="1">
      <x:c r="A14" s="41" t="str">
        <x:v>収益を伸ばす順序</x:v>
      </x:c>
      <x:c r="B14" s="41" t="str">
        <x:v>収益を伸ばす順序</x:v>
      </x:c>
      <x:c r="C14" s="41" t="str">
        <x:v>収益を伸ばす順序</x:v>
      </x:c>
      <x:c r="D14" s="41" t="str">
        <x:v>収益を伸ばす順序</x:v>
      </x:c>
      <x:c r="E14" s="41" t="str">
        <x:v>収益を伸ばす順序</x:v>
      </x:c>
      <x:c r="F14" s="41" t="str">
        <x:v>収益を伸ばす順序</x:v>
      </x:c>
      <x:c r="G14" s="41" t="str">
        <x:v>収益を伸ばす順序</x:v>
      </x:c>
      <x:c r="H14" s="41" t="str">
        <x:v>収益を伸ばす順序</x:v>
      </x:c>
      <x:c r="I14" s="41" t="str">
        <x:v>収益を伸ばす順序</x:v>
      </x:c>
      <x:c r="J14" s="41" t="str">
        <x:v>収益を伸ばす順序</x:v>
      </x:c>
      <x:c r="K14" s="41" t="str">
        <x:v>収益を伸ばす順序</x:v>
      </x:c>
      <x:c r="L14" s="41" t="str">
        <x:v>収益を伸ばす順序</x:v>
      </x:c>
      <x:c r="M14" s="41" t="str">
        <x:v>収益を伸ばす順序</x:v>
      </x:c>
      <x:c r="N14" s="41" t="str">
        <x:v>収益を伸ばす順序</x:v>
      </x:c>
      <x:c r="O14" s="41" t="str">
        <x:v>収益を伸ばす順序</x:v>
      </x:c>
      <x:c r="P14" s="41" t="str">
        <x:v>収益を伸ばす順序</x:v>
      </x:c>
      <x:c r="Q14" s="41" t="str">
        <x:v>収益を伸ばす順序</x:v>
      </x:c>
    </x:row>
    <x:row r="15" ht="26" customHeight="1">
      <x:c r="A15" s="173" t="str">
        <x:v>順</x:v>
      </x:c>
      <x:c r="B15" s="174" t="str">
        <x:v>成長レバー</x:v>
      </x:c>
      <x:c r="C15" s="176" t="str">
        <x:v>実装判断</x:v>
      </x:c>
      <x:c r="D15" s="174" t="str">
        <x:v>実装判断</x:v>
      </x:c>
      <x:c r="E15" s="174" t="str">
        <x:v>実装判断</x:v>
      </x:c>
      <x:c r="F15" s="174" t="str">
        <x:v>実装判断</x:v>
      </x:c>
      <x:c r="G15" s="174" t="str">
        <x:v>実装判断</x:v>
      </x:c>
      <x:c r="H15" s="174" t="str">
        <x:v>実装判断</x:v>
      </x:c>
      <x:c r="I15" s="174" t="str">
        <x:v>実装判断</x:v>
      </x:c>
      <x:c r="J15" s="174" t="str">
        <x:v>実装判断</x:v>
      </x:c>
      <x:c r="K15" s="174" t="str">
        <x:v>実装判断</x:v>
      </x:c>
      <x:c r="L15" s="174" t="str">
        <x:v>実装判断</x:v>
      </x:c>
      <x:c r="M15" s="174" t="str">
        <x:v>実装判断</x:v>
      </x:c>
      <x:c r="N15" s="174" t="str">
        <x:v>実装判断</x:v>
      </x:c>
      <x:c r="O15" s="174" t="str">
        <x:v>実装判断</x:v>
      </x:c>
      <x:c r="P15" s="174" t="str">
        <x:v>実装判断</x:v>
      </x:c>
      <x:c r="Q15" s="175" t="str">
        <x:v>実装判断</x:v>
      </x:c>
    </x:row>
    <x:row r="16" ht="28" customHeight="1">
      <x:c r="A16" s="22" t="str">
        <x:v>1</x:v>
      </x:c>
      <x:c r="B16" s="22" t="str">
        <x:v>検索・SNS流入</x:v>
      </x:c>
      <x:c r="C16" s="24" t="str">
        <x:v>代表URL段階更新と媒体別ファネルで、人間sessionを増やす</x:v>
      </x:c>
      <x:c r="D16" s="24" t="str">
        <x:v>代表URL段階更新と媒体別ファネルで、人間sessionを増やす</x:v>
      </x:c>
      <x:c r="E16" s="24" t="str">
        <x:v>代表URL段階更新と媒体別ファネルで、人間sessionを増やす</x:v>
      </x:c>
      <x:c r="F16" s="24" t="str">
        <x:v>代表URL段階更新と媒体別ファネルで、人間sessionを増やす</x:v>
      </x:c>
      <x:c r="G16" s="24" t="str">
        <x:v>代表URL段階更新と媒体別ファネルで、人間sessionを増やす</x:v>
      </x:c>
      <x:c r="H16" s="24" t="str">
        <x:v>代表URL段階更新と媒体別ファネルで、人間sessionを増やす</x:v>
      </x:c>
      <x:c r="I16" s="24" t="str">
        <x:v>代表URL段階更新と媒体別ファネルで、人間sessionを増やす</x:v>
      </x:c>
      <x:c r="J16" s="24" t="str">
        <x:v>代表URL段階更新と媒体別ファネルで、人間sessionを増やす</x:v>
      </x:c>
      <x:c r="K16" s="24" t="str">
        <x:v>代表URL段階更新と媒体別ファネルで、人間sessionを増やす</x:v>
      </x:c>
      <x:c r="L16" s="24" t="str">
        <x:v>代表URL段階更新と媒体別ファネルで、人間sessionを増やす</x:v>
      </x:c>
      <x:c r="M16" s="24" t="str">
        <x:v>代表URL段階更新と媒体別ファネルで、人間sessionを増やす</x:v>
      </x:c>
      <x:c r="N16" s="24" t="str">
        <x:v>代表URL段階更新と媒体別ファネルで、人間sessionを増やす</x:v>
      </x:c>
      <x:c r="O16" s="24" t="str">
        <x:v>代表URL段階更新と媒体別ファネルで、人間sessionを増やす</x:v>
      </x:c>
      <x:c r="P16" s="24" t="str">
        <x:v>代表URL段階更新と媒体別ファネルで、人間sessionを増やす</x:v>
      </x:c>
      <x:c r="Q16" s="24" t="str">
        <x:v>代表URL段階更新と媒体別ファネルで、人間sessionを増やす</x:v>
      </x:c>
    </x:row>
    <x:row r="17" ht="28" customHeight="1">
      <x:c r="A17" s="23" t="str">
        <x:v>2</x:v>
      </x:c>
      <x:c r="B17" s="23" t="str">
        <x:v>記事→レース</x:v>
      </x:c>
      <x:c r="C17" s="25" t="str">
        <x:v>適格記事だけを正確な個別レースへ接続し、予想表到達を増やす</x:v>
      </x:c>
      <x:c r="D17" s="25" t="str">
        <x:v>適格記事だけを正確な個別レースへ接続し、予想表到達を増やす</x:v>
      </x:c>
      <x:c r="E17" s="25" t="str">
        <x:v>適格記事だけを正確な個別レースへ接続し、予想表到達を増やす</x:v>
      </x:c>
      <x:c r="F17" s="25" t="str">
        <x:v>適格記事だけを正確な個別レースへ接続し、予想表到達を増やす</x:v>
      </x:c>
      <x:c r="G17" s="25" t="str">
        <x:v>適格記事だけを正確な個別レースへ接続し、予想表到達を増やす</x:v>
      </x:c>
      <x:c r="H17" s="25" t="str">
        <x:v>適格記事だけを正確な個別レースへ接続し、予想表到達を増やす</x:v>
      </x:c>
      <x:c r="I17" s="25" t="str">
        <x:v>適格記事だけを正確な個別レースへ接続し、予想表到達を増やす</x:v>
      </x:c>
      <x:c r="J17" s="25" t="str">
        <x:v>適格記事だけを正確な個別レースへ接続し、予想表到達を増やす</x:v>
      </x:c>
      <x:c r="K17" s="25" t="str">
        <x:v>適格記事だけを正確な個別レースへ接続し、予想表到達を増やす</x:v>
      </x:c>
      <x:c r="L17" s="25" t="str">
        <x:v>適格記事だけを正確な個別レースへ接続し、予想表到達を増やす</x:v>
      </x:c>
      <x:c r="M17" s="25" t="str">
        <x:v>適格記事だけを正確な個別レースへ接続し、予想表到達を増やす</x:v>
      </x:c>
      <x:c r="N17" s="25" t="str">
        <x:v>適格記事だけを正確な個別レースへ接続し、予想表到達を増やす</x:v>
      </x:c>
      <x:c r="O17" s="25" t="str">
        <x:v>適格記事だけを正確な個別レースへ接続し、予想表到達を増やす</x:v>
      </x:c>
      <x:c r="P17" s="25" t="str">
        <x:v>適格記事だけを正確な個別レースへ接続し、予想表到達を増やす</x:v>
      </x:c>
      <x:c r="Q17" s="25" t="str">
        <x:v>適格記事だけを正確な個別レースへ接続し、予想表到達を増やす</x:v>
      </x:c>
    </x:row>
    <x:row r="18" ht="28" customHeight="1">
      <x:c r="A18" s="23" t="str">
        <x:v>3</x:v>
      </x:c>
      <x:c r="B18" s="23" t="str">
        <x:v>再訪・巡回</x:v>
      </x:c>
      <x:c r="C18" s="25" t="str">
        <x:v>前回レース復帰、保存、比較から別日再訪と複数レース閲覧を増やす</x:v>
      </x:c>
      <x:c r="D18" s="25" t="str">
        <x:v>前回レース復帰、保存、比較から別日再訪と複数レース閲覧を増やす</x:v>
      </x:c>
      <x:c r="E18" s="25" t="str">
        <x:v>前回レース復帰、保存、比較から別日再訪と複数レース閲覧を増やす</x:v>
      </x:c>
      <x:c r="F18" s="25" t="str">
        <x:v>前回レース復帰、保存、比較から別日再訪と複数レース閲覧を増やす</x:v>
      </x:c>
      <x:c r="G18" s="25" t="str">
        <x:v>前回レース復帰、保存、比較から別日再訪と複数レース閲覧を増やす</x:v>
      </x:c>
      <x:c r="H18" s="25" t="str">
        <x:v>前回レース復帰、保存、比較から別日再訪と複数レース閲覧を増やす</x:v>
      </x:c>
      <x:c r="I18" s="25" t="str">
        <x:v>前回レース復帰、保存、比較から別日再訪と複数レース閲覧を増やす</x:v>
      </x:c>
      <x:c r="J18" s="25" t="str">
        <x:v>前回レース復帰、保存、比較から別日再訪と複数レース閲覧を増やす</x:v>
      </x:c>
      <x:c r="K18" s="25" t="str">
        <x:v>前回レース復帰、保存、比較から別日再訪と複数レース閲覧を増やす</x:v>
      </x:c>
      <x:c r="L18" s="25" t="str">
        <x:v>前回レース復帰、保存、比較から別日再訪と複数レース閲覧を増やす</x:v>
      </x:c>
      <x:c r="M18" s="25" t="str">
        <x:v>前回レース復帰、保存、比較から別日再訪と複数レース閲覧を増やす</x:v>
      </x:c>
      <x:c r="N18" s="25" t="str">
        <x:v>前回レース復帰、保存、比較から別日再訪と複数レース閲覧を増やす</x:v>
      </x:c>
      <x:c r="O18" s="25" t="str">
        <x:v>前回レース復帰、保存、比較から別日再訪と複数レース閲覧を増やす</x:v>
      </x:c>
      <x:c r="P18" s="25" t="str">
        <x:v>前回レース復帰、保存、比較から別日再訪と複数レース閲覧を増やす</x:v>
      </x:c>
      <x:c r="Q18" s="25" t="str">
        <x:v>前回レース復帰、保存、比較から別日再訪と複数レース閲覧を増やす</x:v>
      </x:c>
    </x:row>
    <x:row r="19" ht="28" customHeight="1">
      <x:c r="A19" s="23" t="str">
        <x:v>4</x:v>
      </x:c>
      <x:c r="B19" s="23" t="str">
        <x:v>広告yield</x:v>
      </x:c>
      <x:c r="C19" s="25" t="str">
        <x:v>広告数を固定し、既存枠の読了位置と視認性を改善する</x:v>
      </x:c>
      <x:c r="D19" s="25" t="str">
        <x:v>広告数を固定し、既存枠の読了位置と視認性を改善する</x:v>
      </x:c>
      <x:c r="E19" s="25" t="str">
        <x:v>広告数を固定し、既存枠の読了位置と視認性を改善する</x:v>
      </x:c>
      <x:c r="F19" s="25" t="str">
        <x:v>広告数を固定し、既存枠の読了位置と視認性を改善する</x:v>
      </x:c>
      <x:c r="G19" s="25" t="str">
        <x:v>広告数を固定し、既存枠の読了位置と視認性を改善する</x:v>
      </x:c>
      <x:c r="H19" s="25" t="str">
        <x:v>広告数を固定し、既存枠の読了位置と視認性を改善する</x:v>
      </x:c>
      <x:c r="I19" s="25" t="str">
        <x:v>広告数を固定し、既存枠の読了位置と視認性を改善する</x:v>
      </x:c>
      <x:c r="J19" s="25" t="str">
        <x:v>広告数を固定し、既存枠の読了位置と視認性を改善する</x:v>
      </x:c>
      <x:c r="K19" s="25" t="str">
        <x:v>広告数を固定し、既存枠の読了位置と視認性を改善する</x:v>
      </x:c>
      <x:c r="L19" s="25" t="str">
        <x:v>広告数を固定し、既存枠の読了位置と視認性を改善する</x:v>
      </x:c>
      <x:c r="M19" s="25" t="str">
        <x:v>広告数を固定し、既存枠の読了位置と視認性を改善する</x:v>
      </x:c>
      <x:c r="N19" s="25" t="str">
        <x:v>広告数を固定し、既存枠の読了位置と視認性を改善する</x:v>
      </x:c>
      <x:c r="O19" s="25" t="str">
        <x:v>広告数を固定し、既存枠の読了位置と視認性を改善する</x:v>
      </x:c>
      <x:c r="P19" s="25" t="str">
        <x:v>広告数を固定し、既存枠の読了位置と視認性を改善する</x:v>
      </x:c>
      <x:c r="Q19" s="25" t="str">
        <x:v>広告数を固定し、既存枠の読了位置と視認性を改善する</x:v>
      </x:c>
    </x:row>
    <x:row r="21" ht="24" customHeight="1">
      <x:c r="A21" s="41" t="str">
        <x:v>日次比較</x:v>
      </x:c>
      <x:c r="B21" s="41" t="str">
        <x:v>日次比較</x:v>
      </x:c>
      <x:c r="C21" s="41" t="str">
        <x:v>日次比較</x:v>
      </x:c>
      <x:c r="D21" s="41" t="str">
        <x:v>日次比較</x:v>
      </x:c>
      <x:c r="E21" s="41" t="str">
        <x:v>日次比較</x:v>
      </x:c>
      <x:c r="F21" s="41" t="str">
        <x:v>日次比較</x:v>
      </x:c>
      <x:c r="G21" s="41" t="str">
        <x:v>日次比較</x:v>
      </x:c>
      <x:c r="H21" s="41" t="str">
        <x:v>日次比較</x:v>
      </x:c>
    </x:row>
    <x:row r="22" ht="26" customHeight="1">
      <x:c r="A22" s="16" t="str">
        <x:v>日付</x:v>
      </x:c>
      <x:c r="B22" s="17" t="str">
        <x:v>AdSense収益</x:v>
      </x:c>
      <x:c r="C22" s="18" t="str">
        <x:v>検索click</x:v>
      </x:c>
    </x:row>
    <x:row r="23">
      <x:c r="A23" s="22" t="str">
        <x:f>TEXT('日次'!A5,"m/d")</x:f>
        <x:v>7/7</x:v>
      </x:c>
      <x:c r="B23" s="30" t="n">
        <x:f>'日次'!C5</x:f>
        <x:v>43</x:v>
      </x:c>
      <x:c r="C23" s="26" t="n">
        <x:f>'日次'!H5</x:f>
        <x:v>41</x:v>
      </x:c>
    </x:row>
    <x:row r="24">
      <x:c r="A24" s="23" t="str">
        <x:f>TEXT('日次'!A6,"m/d")</x:f>
        <x:v>7/8</x:v>
      </x:c>
      <x:c r="B24" s="31" t="n">
        <x:f>'日次'!C6</x:f>
        <x:v>39</x:v>
      </x:c>
      <x:c r="C24" s="27" t="n">
        <x:f>'日次'!H6</x:f>
        <x:v>110</x:v>
      </x:c>
    </x:row>
    <x:row r="25">
      <x:c r="A25" s="23" t="str">
        <x:f>TEXT('日次'!A7,"m/d")</x:f>
        <x:v>7/9</x:v>
      </x:c>
      <x:c r="B25" s="31" t="n">
        <x:f>'日次'!C7</x:f>
        <x:v>92</x:v>
      </x:c>
      <x:c r="C25" s="27" t="n">
        <x:f>'日次'!H7</x:f>
        <x:v>86</x:v>
      </x:c>
    </x:row>
    <x:row r="26">
      <x:c r="A26" s="23" t="str">
        <x:f>TEXT('日次'!A8,"m/d")</x:f>
        <x:v>7/10</x:v>
      </x:c>
      <x:c r="B26" s="31" t="n">
        <x:f>'日次'!C8</x:f>
        <x:v>29</x:v>
      </x:c>
      <x:c r="C26" s="27" t="n">
        <x:f>'日次'!H8</x:f>
        <x:v>27</x:v>
      </x:c>
    </x:row>
    <x:row r="27">
      <x:c r="A27" s="23" t="str">
        <x:f>TEXT('日次'!A9,"m/d")</x:f>
        <x:v>7/11</x:v>
      </x:c>
      <x:c r="B27" s="31" t="n">
        <x:f>'日次'!C9</x:f>
        <x:v>43</x:v>
      </x:c>
      <x:c r="C27" s="27" t="n">
        <x:f>'日次'!H9</x:f>
        <x:v>46</x:v>
      </x:c>
    </x:row>
    <x:row r="28">
      <x:c r="A28" s="23" t="str">
        <x:f>TEXT('日次'!A10,"m/d")</x:f>
        <x:v>7/12</x:v>
      </x:c>
      <x:c r="B28" s="31" t="n">
        <x:f>'日次'!C10</x:f>
        <x:v>61</x:v>
      </x:c>
      <x:c r="C28" s="27" t="n">
        <x:f>'日次'!H10</x:f>
        <x:v>63</x:v>
      </x:c>
    </x:row>
    <x:row r="29">
      <x:c r="A29" s="23" t="str">
        <x:f>TEXT('日次'!A11,"m/d")</x:f>
        <x:v>7/13</x:v>
      </x:c>
      <x:c r="B29" s="31" t="n">
        <x:f>'日次'!C11</x:f>
        <x:v>42</x:v>
      </x:c>
      <x:c r="C29" s="27" t="n">
        <x:f>'日次'!H11</x:f>
        <x:v>40</x:v>
      </x:c>
    </x:row>
    <x:row r="30">
      <x:c r="A30" s="23" t="str">
        <x:f>TEXT('日次'!A12,"m/d")</x:f>
        <x:v>7/14</x:v>
      </x:c>
      <x:c r="B30" s="31" t="n">
        <x:f>'日次'!C12</x:f>
        <x:v>111</x:v>
      </x:c>
      <x:c r="C30" s="27" t="n">
        <x:f>'日次'!H12</x:f>
        <x:v>37</x:v>
      </x:c>
    </x:row>
    <x:row r="31">
      <x:c r="A31" s="23" t="str">
        <x:f>TEXT('日次'!A13,"m/d")</x:f>
        <x:v>7/15</x:v>
      </x:c>
      <x:c r="B31" s="31" t="n">
        <x:f>'日次'!C13</x:f>
        <x:v>67</x:v>
      </x:c>
      <x:c r="C31" s="27" t="n">
        <x:f>'日次'!H13</x:f>
        <x:v>40</x:v>
      </x:c>
    </x:row>
    <x:row r="32">
      <x:c r="A32" s="23" t="str">
        <x:f>TEXT('日次'!A14,"m/d")</x:f>
        <x:v>7/16</x:v>
      </x:c>
      <x:c r="B32" s="31" t="n">
        <x:f>'日次'!C14</x:f>
        <x:v>57</x:v>
      </x:c>
      <x:c r="C32" s="27" t="n">
        <x:f>'日次'!H14</x:f>
        <x:v>29</x:v>
      </x:c>
    </x:row>
    <x:row r="33">
      <x:c r="A33" s="23" t="str">
        <x:f>TEXT('日次'!A15,"m/d")</x:f>
        <x:v>7/17</x:v>
      </x:c>
      <x:c r="B33" s="31" t="n">
        <x:f>'日次'!C15</x:f>
        <x:v>29</x:v>
      </x:c>
      <x:c r="C33" s="27" t="n">
        <x:f>'日次'!H15</x:f>
        <x:v>39</x:v>
      </x:c>
    </x:row>
    <x:row r="34">
      <x:c r="A34" s="23" t="str">
        <x:f>TEXT('日次'!A16,"m/d")</x:f>
        <x:v>7/18</x:v>
      </x:c>
      <x:c r="B34" s="31" t="n">
        <x:f>'日次'!C16</x:f>
        <x:v>58</x:v>
      </x:c>
      <x:c r="C34" s="27" t="n">
        <x:f>'日次'!H16</x:f>
        <x:v>52</x:v>
      </x:c>
    </x:row>
    <x:row r="35">
      <x:c r="A35" s="23" t="str">
        <x:f>TEXT('日次'!A17,"m/d")</x:f>
        <x:v>7/19</x:v>
      </x:c>
      <x:c r="B35" s="31" t="n">
        <x:f>'日次'!C17</x:f>
        <x:v>195</x:v>
      </x:c>
      <x:c r="C35" s="27" t="n">
        <x:f>'日次'!H17</x:f>
        <x:v>138</x:v>
      </x:c>
    </x:row>
    <x:row r="36">
      <x:c r="A36" s="23" t="str">
        <x:f>TEXT('日次'!A18,"m/d")</x:f>
        <x:v>7/20</x:v>
      </x:c>
      <x:c r="B36" s="31" t="n">
        <x:f>'日次'!C18</x:f>
        <x:v>53</x:v>
      </x:c>
      <x:c r="C36" s="27" t="n">
        <x:f>'日次'!H18</x:f>
        <x:v>62</x:v>
      </x:c>
    </x:row>
    <x:row r="37">
      <x:c r="A37" s="23" t="str">
        <x:f>TEXT('日次'!A19,"m/d")</x:f>
        <x:v>7/21</x:v>
      </x:c>
      <x:c r="B37" s="31" t="n">
        <x:f>'日次'!C19</x:f>
        <x:v>53</x:v>
      </x:c>
      <x:c r="C37" s="27" t="n">
        <x:f>'日次'!H19</x:f>
        <x:v>37</x:v>
      </x:c>
    </x:row>
    <x:row r="38">
      <x:c r="A38" s="23" t="str">
        <x:f>TEXT('日次'!A20,"m/d")</x:f>
        <x:v>7/22</x:v>
      </x:c>
      <x:c r="B38" s="31" t="n">
        <x:f>'日次'!C20</x:f>
        <x:v>35</x:v>
      </x:c>
      <x:c r="C38" s="27" t="n">
        <x:f>'日次'!H20</x:f>
        <x:v>41</x:v>
      </x:c>
    </x:row>
    <x:row r="39">
      <x:c r="A39" s="23" t="str">
        <x:f>TEXT('日次'!A21,"m/d")</x:f>
        <x:v>7/23</x:v>
      </x:c>
      <x:c r="B39" s="31" t="n">
        <x:f>'日次'!C21</x:f>
        <x:v>41</x:v>
      </x:c>
      <x:c r="C39" s="27" t="n">
        <x:f>'日次'!H21</x:f>
        <x:v>26</x:v>
      </x:c>
    </x:row>
    <x:row r="40">
      <x:c r="A40" s="23" t="str">
        <x:f>TEXT('日次'!A22,"m/d")</x:f>
        <x:v>7/24</x:v>
      </x:c>
      <x:c r="B40" s="31" t="n">
        <x:f>'日次'!C22</x:f>
        <x:v>25</x:v>
      </x:c>
      <x:c r="C40" s="27" t="n">
        <x:f>'日次'!H22</x:f>
        <x:v>16</x:v>
      </x:c>
    </x:row>
    <x:row r="41">
      <x:c r="A41" s="23" t="str">
        <x:f>TEXT('日次'!A23,"m/d")</x:f>
        <x:v>7/25</x:v>
      </x:c>
      <x:c r="B41" s="31" t="n">
        <x:f>'日次'!C23</x:f>
        <x:v>59</x:v>
      </x:c>
      <x:c r="C41" s="27" t="n">
        <x:f>'日次'!H23</x:f>
        <x:v>40</x:v>
      </x:c>
    </x:row>
    <x:row r="42">
      <x:c r="A42" s="23" t="str">
        <x:f>TEXT('日次'!A24,"m/d")</x:f>
        <x:v>7/26</x:v>
      </x:c>
      <x:c r="B42" s="31" t="n">
        <x:f>'日次'!C24</x:f>
        <x:v>61</x:v>
      </x:c>
      <x:c r="C42" s="27" t="n">
        <x:f>'日次'!H24</x:f>
        <x:v>72</x:v>
      </x:c>
    </x:row>
    <x:row r="43">
      <x:c r="A43" s="23" t="str">
        <x:f>TEXT('日次'!A25,"m/d")</x:f>
        <x:v>7/27</x:v>
      </x:c>
      <x:c r="B43" s="31" t="n">
        <x:f>'日次'!C25</x:f>
        <x:v>21</x:v>
      </x:c>
      <x:c r="C43" s="27" t="n">
        <x:f>'日次'!H25</x:f>
        <x:v>74</x:v>
      </x:c>
    </x:row>
    <x:row r="44">
      <x:c r="A44" s="23" t="str">
        <x:f>TEXT('日次'!A26,"m/d")</x:f>
        <x:v>7/28</x:v>
      </x:c>
      <x:c r="B44" s="31" t="n">
        <x:f>'日次'!C26</x:f>
        <x:v>57</x:v>
      </x:c>
      <x:c r="C44" s="27" t="n">
        <x:f>'日次'!H26</x:f>
        <x:v>72</x:v>
      </x:c>
    </x:row>
    <x:row r="45">
      <x:c r="A45" s="23" t="str">
        <x:f>TEXT('日次'!A27,"m/d")</x:f>
        <x:v>7/29</x:v>
      </x:c>
      <x:c r="B45" s="31" t="n">
        <x:f>'日次'!C27</x:f>
        <x:v>43</x:v>
      </x:c>
      <x:c r="C45" s="27" t="n">
        <x:f>'日次'!H27</x:f>
        <x:v>39</x:v>
      </x:c>
    </x:row>
    <x:row r="46">
      <x:c r="A46" s="23" t="str">
        <x:f>TEXT('日次'!A28,"m/d")</x:f>
        <x:v>7/30</x:v>
      </x:c>
      <x:c r="B46" s="31" t="n">
        <x:f>'日次'!C28</x:f>
        <x:v>18</x:v>
      </x:c>
      <x:c r="C46" s="27" t="n">
        <x:f>'日次'!H28</x:f>
        <x:v>4</x:v>
      </x:c>
    </x:row>
    <x:row r="47">
      <x:c r="A47" s="23" t="str">
        <x:f>TEXT('日次'!A29,"m/d")</x:f>
        <x:v>7/31</x:v>
      </x:c>
      <x:c r="B47" s="31" t="n">
        <x:f>'日次'!C29</x:f>
        <x:v>19</x:v>
      </x:c>
      <x:c r="C47" s="27" t="n">
        <x:f>'日次'!H29</x:f>
        <x:v>15</x:v>
      </x:c>
    </x:row>
    <x:row r="50" ht="24" customHeight="1">
      <x:c r="A50" s="41" t="str">
        <x:v>ページ群別検索クリック</x:v>
      </x:c>
      <x:c r="B50" s="41" t="str">
        <x:v>ページ群別検索クリック</x:v>
      </x:c>
      <x:c r="C50" s="41" t="str">
        <x:v>ページ群別検索クリック</x:v>
      </x:c>
      <x:c r="D50" s="41" t="str">
        <x:v>ページ群別検索クリック</x:v>
      </x:c>
      <x:c r="E50" s="41" t="str">
        <x:v>ページ群別検索クリック</x:v>
      </x:c>
      <x:c r="F50" s="41" t="str">
        <x:v>ページ群別検索クリック</x:v>
      </x:c>
      <x:c r="G50" s="41" t="str">
        <x:v>ページ群別検索クリック</x:v>
      </x:c>
      <x:c r="H50" s="41" t="str">
        <x:v>ページ群別検索クリック</x:v>
      </x:c>
    </x:row>
    <x:row r="51" ht="26" customHeight="1">
      <x:c r="A51" s="16" t="str">
        <x:v>ページ群</x:v>
      </x:c>
      <x:c r="B51" s="18" t="str">
        <x:v>検索click</x:v>
      </x:c>
    </x:row>
    <x:row r="52">
      <x:c r="A52" s="22" t="str">
        <x:f>'SEO'!A6</x:f>
        <x:v>article</x:v>
      </x:c>
      <x:c r="B52" s="26" t="n">
        <x:f>'SEO'!C6</x:f>
        <x:v>955</x:v>
      </x:c>
    </x:row>
    <x:row r="53">
      <x:c r="A53" s="23" t="str">
        <x:f>'SEO'!A7</x:f>
        <x:v>race_detail</x:v>
      </x:c>
      <x:c r="B53" s="27" t="n">
        <x:f>'SEO'!C7</x:f>
        <x:v>246</x:v>
      </x:c>
    </x:row>
    <x:row r="54">
      <x:c r="A54" s="23" t="str">
        <x:f>'SEO'!A8</x:f>
        <x:v>home</x:v>
      </x:c>
      <x:c r="B54" s="27" t="n">
        <x:f>'SEO'!C8</x:f>
        <x:v>159</x:v>
      </x:c>
    </x:row>
    <x:row r="55">
      <x:c r="A55" s="23" t="str">
        <x:f>'SEO'!A9</x:f>
        <x:v>data_hub</x:v>
      </x:c>
      <x:c r="B55" s="27" t="n">
        <x:f>'SEO'!C9</x:f>
        <x:v>13</x:v>
      </x:c>
    </x:row>
    <x:row r="56">
      <x:c r="A56" s="23" t="str">
        <x:f>'SEO'!A10</x:f>
        <x:v>other</x:v>
      </x:c>
      <x:c r="B56" s="27" t="n">
        <x:f>'SEO'!C10</x:f>
        <x:v>9</x:v>
      </x:c>
    </x:row>
    <x:row r="57">
      <x:c r="A57" s="23" t="str">
        <x:f>'SEO'!A11</x:f>
        <x:v>course</x:v>
      </x:c>
      <x:c r="B57" s="27" t="n">
        <x:f>'SEO'!C11</x:f>
        <x:v>8</x:v>
      </x:c>
    </x:row>
    <x:row r="58">
      <x:c r="A58" s="23" t="str">
        <x:f>'SEO'!A12</x:f>
        <x:v>race_day</x:v>
      </x:c>
      <x:c r="B58" s="27" t="n">
        <x:f>'SEO'!C12</x:f>
        <x:v>7</x:v>
      </x:c>
    </x:row>
    <x:row r="59">
      <x:c r="A59" s="23" t="str">
        <x:f>'SEO'!A13</x:f>
        <x:v>article_index</x:v>
      </x:c>
      <x:c r="B59" s="27" t="n">
        <x:f>'SEO'!C13</x:f>
        <x:v>0</x:v>
      </x:c>
    </x:row>
    <x:row r="60">
      <x:c r="A60" s="23" t="str">
        <x:f>'SEO'!A14</x:f>
        <x:v>horse</x:v>
      </x:c>
      <x:c r="B60" s="27" t="n">
        <x:f>'SEO'!C14</x:f>
        <x:v>0</x:v>
      </x:c>
    </x:row>
    <x:row r="69">
      <x:c r="A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B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C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D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E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F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G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H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I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J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K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L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M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N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O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P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Q69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</x:row>
    <x:row r="70">
      <x:c r="A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B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C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D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E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F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G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H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I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J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K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L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M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N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O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P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Q70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</x:row>
    <x:row r="71">
      <x:c r="A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B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C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D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E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F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G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H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I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J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K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L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M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N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O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P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Q71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</x:row>
    <x:row r="72">
      <x:c r="A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B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C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D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E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F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G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H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I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J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K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L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M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N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O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P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Q72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</x:row>
    <x:row r="73">
      <x:c r="A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B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C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D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E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F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G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H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I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J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K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L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M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N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O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P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  <x:c r="Q73" s="181" t="str">
        <x:v>品質ゲート: GA4–AdSenseリンク後、measurement_release_id単位で主要パラメータ欠損とUnassignedが7完全日連続5%未満になるまで新しい収益実験を開始しません。YouTube統合版、新データ機能、8月1日計測版は必要期間が蓄積するまで効果を断定しません。</x:v>
      </x:c>
    </x:row>
  </x:sheetData>
  <x:mergeCells>
    <x:mergeCell ref="A1:Q1"/>
    <x:mergeCell ref="A2:Q2"/>
    <x:mergeCell ref="A4:Q4"/>
    <x:mergeCell ref="A5:C5"/>
    <x:mergeCell ref="A6:C7"/>
    <x:mergeCell ref="E5:G5"/>
    <x:mergeCell ref="E6:G7"/>
    <x:mergeCell ref="I5:K5"/>
    <x:mergeCell ref="I6:K7"/>
    <x:mergeCell ref="M5:O5"/>
    <x:mergeCell ref="M6:O7"/>
    <x:mergeCell ref="A9:C9"/>
    <x:mergeCell ref="A10:C11"/>
    <x:mergeCell ref="E9:G9"/>
    <x:mergeCell ref="E10:G11"/>
    <x:mergeCell ref="I9:K9"/>
    <x:mergeCell ref="I10:K11"/>
    <x:mergeCell ref="M9:O9"/>
    <x:mergeCell ref="M10:O11"/>
    <x:mergeCell ref="A14:Q14"/>
    <x:mergeCell ref="C15:Q15"/>
    <x:mergeCell ref="C16:Q16"/>
    <x:mergeCell ref="C17:Q17"/>
    <x:mergeCell ref="C18:Q18"/>
    <x:mergeCell ref="C19:Q19"/>
    <x:mergeCell ref="A21:H21"/>
    <x:mergeCell ref="A50:H50"/>
    <x:mergeCell ref="A69:Q73"/>
  </x:mergeCells>
  <x:pageMargins left="0.7" right="0.7" top="0.75" bottom="0.75" header="0.3" footer="0.3"/>
  <x:drawing xmlns:r="http://schemas.openxmlformats.org/officeDocument/2006/relationships" r:id="Rbbb6a0d7b9af4605"/>
  <x:legacyDrawing xmlns:r="http://schemas.openxmlformats.org/officeDocument/2006/relationships" r:id="R8fc5ce24a8c04fb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9" hidden="0" customWidth="1"/>
    <x:col min="3" max="3" width="12" hidden="0" customWidth="1"/>
    <x:col min="4" max="4" width="13" hidden="0" customWidth="1"/>
    <x:col min="5" max="5" width="11" hidden="0" customWidth="1"/>
    <x:col min="6" max="6" width="9" hidden="0" customWidth="1"/>
    <x:col min="7" max="7" width="13" hidden="0" customWidth="1"/>
    <x:col min="8" max="8" width="10" hidden="0" customWidth="1"/>
    <x:col min="9" max="9" width="38" hidden="0" customWidth="1"/>
  </x:cols>
  <x:sheetData>
    <x:row r="1" ht="34" customHeight="1">
      <x:c r="A1" s="3" t="str">
        <x:v>出典・取込品質</x:v>
      </x:c>
      <x:c r="B1" s="3" t="str">
        <x:v>出典・取込品質</x:v>
      </x:c>
      <x:c r="C1" s="3" t="str">
        <x:v>出典・取込品質</x:v>
      </x:c>
      <x:c r="D1" s="3" t="str">
        <x:v>出典・取込品質</x:v>
      </x:c>
      <x:c r="E1" s="3" t="str">
        <x:v>出典・取込品質</x:v>
      </x:c>
      <x:c r="F1" s="3" t="str">
        <x:v>出典・取込品質</x:v>
      </x:c>
      <x:c r="G1" s="3" t="str">
        <x:v>出典・取込品質</x:v>
      </x:c>
      <x:c r="H1" s="3" t="str">
        <x:v>出典・取込品質</x:v>
      </x:c>
      <x:c r="I1" s="3" t="str">
        <x:v>出典・取込品質</x:v>
      </x:c>
    </x:row>
    <x:row r="2" ht="28" customHeight="1">
      <x:c r="A2" s="7" t="str">
        <x:v>原本は変更せず、相対パス・SHA-256・文字コード・行数・状態を記録</x:v>
      </x:c>
      <x:c r="B2" s="7" t="str">
        <x:v>原本は変更せず、相対パス・SHA-256・文字コード・行数・状態を記録</x:v>
      </x:c>
      <x:c r="C2" s="7" t="str">
        <x:v>原本は変更せず、相対パス・SHA-256・文字コード・行数・状態を記録</x:v>
      </x:c>
      <x:c r="D2" s="7" t="str">
        <x:v>原本は変更せず、相対パス・SHA-256・文字コード・行数・状態を記録</x:v>
      </x:c>
      <x:c r="E2" s="7" t="str">
        <x:v>原本は変更せず、相対パス・SHA-256・文字コード・行数・状態を記録</x:v>
      </x:c>
      <x:c r="F2" s="7" t="str">
        <x:v>原本は変更せず、相対パス・SHA-256・文字コード・行数・状態を記録</x:v>
      </x:c>
      <x:c r="G2" s="7" t="str">
        <x:v>原本は変更せず、相対パス・SHA-256・文字コード・行数・状態を記録</x:v>
      </x:c>
      <x:c r="H2" s="7" t="str">
        <x:v>原本は変更せず、相対パス・SHA-256・文字コード・行数・状態を記録</x:v>
      </x:c>
      <x:c r="I2" s="7" t="str">
        <x:v>原本は変更せず、相対パス・SHA-256・文字コード・行数・状態を記録</x:v>
      </x:c>
    </x:row>
    <x:row r="4" ht="26" customHeight="1">
      <x:c r="A4" s="16" t="str">
        <x:v>相対パス</x:v>
      </x:c>
      <x:c r="B4" s="17" t="str">
        <x:v>形式</x:v>
      </x:c>
      <x:c r="C4" s="17" t="str">
        <x:v>バイト</x:v>
      </x:c>
      <x:c r="D4" s="17" t="str">
        <x:v>文字コード</x:v>
      </x:c>
      <x:c r="E4" s="17" t="str">
        <x:v>CSV行数</x:v>
      </x:c>
      <x:c r="F4" s="17" t="str">
        <x:v>PDF頁</x:v>
      </x:c>
      <x:c r="G4" s="17" t="str">
        <x:v>画像寸法</x:v>
      </x:c>
      <x:c r="H4" s="17" t="str">
        <x:v>状態</x:v>
      </x:c>
      <x:c r="I4" s="18" t="str">
        <x:v>SHA-256</x:v>
      </x:c>
    </x:row>
    <x:row r="5">
      <x:c r="A5" s="24" t="str">
        <x:v>clarity/Clarity_uma-free_JavaScript のエラー_08-03-2026 01 52.csv</x:v>
      </x:c>
      <x:c r="B5" s="22" t="str">
        <x:v>.csv</x:v>
      </x:c>
      <x:c r="C5" s="26" t="n">
        <x:v>660</x:v>
      </x:c>
      <x:c r="D5" s="22" t="str">
        <x:v>utf-8-sig</x:v>
      </x:c>
      <x:c r="E5" s="22" t="n">
        <x:v>13</x:v>
      </x:c>
      <x:c r="F5" s="22" t="str"/>
      <x:c r="G5" s="22" t="str"/>
      <x:c r="H5" s="22" t="str">
        <x:v>ok</x:v>
      </x:c>
      <x:c r="I5" s="24" t="str">
        <x:v>5c1c153b0a66ae0da31005b48c782498e02c02a5a9a89cad44a28766a9babc83</x:v>
      </x:c>
    </x:row>
    <x:row r="6">
      <x:c r="A6" s="25" t="str">
        <x:v>clarity/Clarity_uma-free_インサイト_08-03-2026 01 51.csv</x:v>
      </x:c>
      <x:c r="B6" s="23" t="str">
        <x:v>.csv</x:v>
      </x:c>
      <x:c r="C6" s="27" t="n">
        <x:v>627</x:v>
      </x:c>
      <x:c r="D6" s="23" t="str">
        <x:v>utf-8-sig</x:v>
      </x:c>
      <x:c r="E6" s="23" t="n">
        <x:v>17</x:v>
      </x:c>
      <x:c r="F6" s="23" t="str"/>
      <x:c r="G6" s="23" t="str"/>
      <x:c r="H6" s="23" t="str">
        <x:v>ok</x:v>
      </x:c>
      <x:c r="I6" s="25" t="str">
        <x:v>127d79266653ee08a9d23c9e7ffa784d87facb90fc69d88d58d7be57a18ca21a</x:v>
      </x:c>
    </x:row>
    <x:row r="7">
      <x:c r="A7" s="25" t="str">
        <x:v>clarity/Clarity_uma-free_スマート イベント_08-03-2026 01 52.csv</x:v>
      </x:c>
      <x:c r="B7" s="23" t="str">
        <x:v>.csv</x:v>
      </x:c>
      <x:c r="C7" s="27" t="n">
        <x:v>1138</x:v>
      </x:c>
      <x:c r="D7" s="23" t="str">
        <x:v>utf-8-sig</x:v>
      </x:c>
      <x:c r="E7" s="23" t="n">
        <x:v>30</x:v>
      </x:c>
      <x:c r="F7" s="23" t="str"/>
      <x:c r="G7" s="23" t="str"/>
      <x:c r="H7" s="23" t="str">
        <x:v>ok</x:v>
      </x:c>
      <x:c r="I7" s="25" t="str">
        <x:v>58d05332eda4e465e9eb90cb070149918dfdaf198429a38c80d44175e45f3955</x:v>
      </x:c>
    </x:row>
    <x:row r="8">
      <x:c r="A8" s="25" t="str">
        <x:v>clarity/Clarity_uma-free_上位のページ_08-03-2026 01 52.csv</x:v>
      </x:c>
      <x:c r="B8" s="23" t="str">
        <x:v>.csv</x:v>
      </x:c>
      <x:c r="C8" s="27" t="n">
        <x:v>786</x:v>
      </x:c>
      <x:c r="D8" s="23" t="str">
        <x:v>utf-8-sig</x:v>
      </x:c>
      <x:c r="E8" s="23" t="n">
        <x:v>17</x:v>
      </x:c>
      <x:c r="F8" s="23" t="str"/>
      <x:c r="G8" s="23" t="str"/>
      <x:c r="H8" s="23" t="str">
        <x:v>ok</x:v>
      </x:c>
      <x:c r="I8" s="25" t="str">
        <x:v>a2af3bbd9bf04deb9b395fb960c45d0b26b74af38f155899434f4e7abc495cef</x:v>
      </x:c>
    </x:row>
    <x:row r="9">
      <x:c r="A9" s="25" t="str">
        <x:v>clarity/Clarity_uma-free_上位の閲覧開始ページ_08-03-2026 01 52.csv</x:v>
      </x:c>
      <x:c r="B9" s="23" t="str">
        <x:v>.csv</x:v>
      </x:c>
      <x:c r="C9" s="27" t="n">
        <x:v>923</x:v>
      </x:c>
      <x:c r="D9" s="23" t="str">
        <x:v>utf-8-sig</x:v>
      </x:c>
      <x:c r="E9" s="23" t="n">
        <x:v>17</x:v>
      </x:c>
      <x:c r="F9" s="23" t="str"/>
      <x:c r="G9" s="23" t="str"/>
      <x:c r="H9" s="23" t="str">
        <x:v>ok</x:v>
      </x:c>
      <x:c r="I9" s="25" t="str">
        <x:v>af70383305aff9588cb1ab555f31efdb32c97a010fd1fdb5774ac5ad45238ebd</x:v>
      </x:c>
    </x:row>
    <x:row r="10">
      <x:c r="A10" s="25" t="str">
        <x:v>googleadsense/report_1.csv</x:v>
      </x:c>
      <x:c r="B10" s="23" t="str">
        <x:v>.csv</x:v>
      </x:c>
      <x:c r="C10" s="27" t="n">
        <x:v>1292</x:v>
      </x:c>
      <x:c r="D10" s="23" t="str">
        <x:v>utf-8-sig</x:v>
      </x:c>
      <x:c r="E10" s="23" t="n">
        <x:v>31</x:v>
      </x:c>
      <x:c r="F10" s="23" t="str"/>
      <x:c r="G10" s="23" t="str"/>
      <x:c r="H10" s="23" t="str">
        <x:v>ok</x:v>
      </x:c>
      <x:c r="I10" s="25" t="str">
        <x:v>ea5ce6c1d618e22c68caf5cdc1d894eaa00bb96cb1f1f6ec4a94db5e57d55aa0</x:v>
      </x:c>
    </x:row>
    <x:row r="11">
      <x:c r="A11" s="25" t="str">
        <x:v>googleadsense/report_2.csv</x:v>
      </x:c>
      <x:c r="B11" s="23" t="str">
        <x:v>.csv</x:v>
      </x:c>
      <x:c r="C11" s="27" t="n">
        <x:v>222</x:v>
      </x:c>
      <x:c r="D11" s="23" t="str">
        <x:v>utf-8-sig</x:v>
      </x:c>
      <x:c r="E11" s="23" t="n">
        <x:v>5</x:v>
      </x:c>
      <x:c r="F11" s="23" t="str"/>
      <x:c r="G11" s="23" t="str"/>
      <x:c r="H11" s="23" t="str">
        <x:v>ok</x:v>
      </x:c>
      <x:c r="I11" s="25" t="str">
        <x:v>01c15c3f19a278f9ad6eafcb6c66491d853d0adfd0f89b617234fd3aa2585cbc</x:v>
      </x:c>
    </x:row>
    <x:row r="12">
      <x:c r="A12" s="25" t="str">
        <x:v>googleadsense/report_3.csv</x:v>
      </x:c>
      <x:c r="B12" s="23" t="str">
        <x:v>.csv</x:v>
      </x:c>
      <x:c r="C12" s="27" t="n">
        <x:v>1001</x:v>
      </x:c>
      <x:c r="D12" s="23" t="str">
        <x:v>utf-8-sig</x:v>
      </x:c>
      <x:c r="E12" s="23" t="n">
        <x:v>23</x:v>
      </x:c>
      <x:c r="F12" s="23" t="str"/>
      <x:c r="G12" s="23" t="str"/>
      <x:c r="H12" s="23" t="str">
        <x:v>ok</x:v>
      </x:c>
      <x:c r="I12" s="25" t="str">
        <x:v>ed95bd67874f29ee87c344a62a5d1ff41ed1b53bc556b74aa7ae32c5105b9350</x:v>
      </x:c>
    </x:row>
    <x:row r="13">
      <x:c r="A13" s="25" t="str">
        <x:v>googleadsense/report_4.csv</x:v>
      </x:c>
      <x:c r="B13" s="23" t="str">
        <x:v>.csv</x:v>
      </x:c>
      <x:c r="C13" s="27" t="n">
        <x:v>369</x:v>
      </x:c>
      <x:c r="D13" s="23" t="str">
        <x:v>utf-8-sig</x:v>
      </x:c>
      <x:c r="E13" s="23" t="n">
        <x:v>8</x:v>
      </x:c>
      <x:c r="F13" s="23" t="str"/>
      <x:c r="G13" s="23" t="str"/>
      <x:c r="H13" s="23" t="str">
        <x:v>ok</x:v>
      </x:c>
      <x:c r="I13" s="25" t="str">
        <x:v>25b877486e73942210da3c8d04fa28165c20c0041256c8156194483f1ae30c71</x:v>
      </x:c>
    </x:row>
    <x:row r="14">
      <x:c r="A14" s="25" t="str">
        <x:v>googleadsense/report_5.csv</x:v>
      </x:c>
      <x:c r="B14" s="23" t="str">
        <x:v>.csv</x:v>
      </x:c>
      <x:c r="C14" s="27" t="n">
        <x:v>1161</x:v>
      </x:c>
      <x:c r="D14" s="23" t="str">
        <x:v>utf-8-sig</x:v>
      </x:c>
      <x:c r="E14" s="23" t="n">
        <x:v>33</x:v>
      </x:c>
      <x:c r="F14" s="23" t="str"/>
      <x:c r="G14" s="23" t="str"/>
      <x:c r="H14" s="23" t="str">
        <x:v>ok</x:v>
      </x:c>
      <x:c r="I14" s="25" t="str">
        <x:v>131e52419bda4a80ac52c23de7684d5538ac60a12add486e6fee1a06ea907cc3</x:v>
      </x:c>
    </x:row>
    <x:row r="15">
      <x:c r="A15" s="25" t="str">
        <x:v>googleanalytics/Google_オーガニック検索レポート_ランディング_ページ_+_クエリ文字列.csv</x:v>
      </x:c>
      <x:c r="B15" s="23" t="str">
        <x:v>.csv</x:v>
      </x:c>
      <x:c r="C15" s="27" t="n">
        <x:v>40666</x:v>
      </x:c>
      <x:c r="D15" s="23" t="str">
        <x:v>utf-8-sig</x:v>
      </x:c>
      <x:c r="E15" s="23" t="n">
        <x:v>571</x:v>
      </x:c>
      <x:c r="F15" s="23" t="str"/>
      <x:c r="G15" s="23" t="str"/>
      <x:c r="H15" s="23" t="str">
        <x:v>ok</x:v>
      </x:c>
      <x:c r="I15" s="25" t="str">
        <x:v>4f57aac14aeedd47d3bbbc4952786a4223c8cab32535d2d71233a3e5aa00557f</x:v>
      </x:c>
    </x:row>
    <x:row r="16">
      <x:c r="A16" s="25" t="str">
        <x:v>googleanalytics/data.pdf</x:v>
      </x:c>
      <x:c r="B16" s="23" t="str">
        <x:v>.pdf</x:v>
      </x:c>
      <x:c r="C16" s="27" t="n">
        <x:v>234377</x:v>
      </x:c>
      <x:c r="D16" s="23" t="str"/>
      <x:c r="E16" s="23" t="str"/>
      <x:c r="F16" s="23" t="n">
        <x:v>1</x:v>
      </x:c>
      <x:c r="G16" s="23" t="str"/>
      <x:c r="H16" s="23" t="str">
        <x:v>ok</x:v>
      </x:c>
      <x:c r="I16" s="25" t="str">
        <x:v>37d900c37329aa7e12b1edcf90c6853fb93b818ba78fe3fde285b72d1984d5c9</x:v>
      </x:c>
    </x:row>
    <x:row r="17">
      <x:c r="A17" s="25" t="str">
        <x:v>googleanalytics/クエリ_Google_のオーガニック検索クエリ.csv</x:v>
      </x:c>
      <x:c r="B17" s="23" t="str">
        <x:v>.csv</x:v>
      </x:c>
      <x:c r="C17" s="27" t="n">
        <x:v>36505</x:v>
      </x:c>
      <x:c r="D17" s="23" t="str">
        <x:v>utf-8-sig</x:v>
      </x:c>
      <x:c r="E17" s="23" t="n">
        <x:v>878</x:v>
      </x:c>
      <x:c r="F17" s="23" t="str"/>
      <x:c r="G17" s="23" t="str"/>
      <x:c r="H17" s="23" t="str">
        <x:v>ok</x:v>
      </x:c>
      <x:c r="I17" s="25" t="str">
        <x:v>ba95bdc5afdc07f6acc6b28d29c3b24fb8b944fc71adf4d4261e92fa7d884d13</x:v>
      </x:c>
    </x:row>
    <x:row r="18">
      <x:c r="A18" s="25" t="str">
        <x:v>googleanalytics/ユーザーの環境の概要.csv</x:v>
      </x:c>
      <x:c r="B18" s="23" t="str">
        <x:v>.csv</x:v>
      </x:c>
      <x:c r="C18" s="27" t="n">
        <x:v>4339</x:v>
      </x:c>
      <x:c r="D18" s="23" t="str">
        <x:v>utf-8-sig</x:v>
      </x:c>
      <x:c r="E18" s="23" t="n">
        <x:v>307</x:v>
      </x:c>
      <x:c r="F18" s="23" t="str"/>
      <x:c r="G18" s="23" t="str"/>
      <x:c r="H18" s="23" t="str">
        <x:v>ok</x:v>
      </x:c>
      <x:c r="I18" s="25" t="str">
        <x:v>cf87f06566b54b3ce702ebc7e639a3b71d415bfce4fe590213af8f618a721d2a</x:v>
      </x:c>
    </x:row>
    <x:row r="19">
      <x:c r="A19" s="25" t="str">
        <x:v>googleanalytics/レポートのスナップショット (1).csv</x:v>
      </x:c>
      <x:c r="B19" s="23" t="str">
        <x:v>.csv</x:v>
      </x:c>
      <x:c r="C19" s="27" t="n">
        <x:v>116976</x:v>
      </x:c>
      <x:c r="D19" s="23" t="str">
        <x:v>utf-8-sig</x:v>
      </x:c>
      <x:c r="E19" s="23" t="n">
        <x:v>1815</x:v>
      </x:c>
      <x:c r="F19" s="23" t="str"/>
      <x:c r="G19" s="23" t="str"/>
      <x:c r="H19" s="23" t="str">
        <x:v>ok</x:v>
      </x:c>
      <x:c r="I19" s="25" t="str">
        <x:v>4379d9e245923d74d64e291a723ea8e71e689f1baf374199892362c742a6c3f7</x:v>
      </x:c>
    </x:row>
    <x:row r="20">
      <x:c r="A20" s="25" t="str">
        <x:v>googleanalytics/集客サマリー.csv</x:v>
      </x:c>
      <x:c r="B20" s="23" t="str">
        <x:v>.csv</x:v>
      </x:c>
      <x:c r="C20" s="27" t="n">
        <x:v>27106</x:v>
      </x:c>
      <x:c r="D20" s="23" t="str">
        <x:v>utf-8-sig</x:v>
      </x:c>
      <x:c r="E20" s="23" t="n">
        <x:v>898</x:v>
      </x:c>
      <x:c r="F20" s="23" t="str"/>
      <x:c r="G20" s="23" t="str"/>
      <x:c r="H20" s="23" t="str">
        <x:v>ok</x:v>
      </x:c>
      <x:c r="I20" s="25" t="str">
        <x:v>83b5ca21f313f4dfa303a9f6f1d834685566ec3079c4296d2cc23aa9325c88ff</x:v>
      </x:c>
    </x:row>
    <x:row r="21">
      <x:c r="A21" s="25" t="str">
        <x:v>googlesearchconsole/uma-free.com-Performance-on-Search-2026-08-03/クエリ.csv</x:v>
      </x:c>
      <x:c r="B21" s="23" t="str">
        <x:v>.csv</x:v>
      </x:c>
      <x:c r="C21" s="27" t="n">
        <x:v>34046</x:v>
      </x:c>
      <x:c r="D21" s="23" t="str">
        <x:v>utf-8-sig</x:v>
      </x:c>
      <x:c r="E21" s="23" t="n">
        <x:v>911</x:v>
      </x:c>
      <x:c r="F21" s="23" t="str"/>
      <x:c r="G21" s="23" t="str"/>
      <x:c r="H21" s="23" t="str">
        <x:v>ok</x:v>
      </x:c>
      <x:c r="I21" s="25" t="str">
        <x:v>353c574358d3869f110f9f105b36172b79a7b5029aab4cf5667fe192053a8b38</x:v>
      </x:c>
    </x:row>
    <x:row r="22">
      <x:c r="A22" s="25" t="str">
        <x:v>googlesearchconsole/uma-free.com-Performance-on-Search-2026-08-03/デバイス.csv</x:v>
      </x:c>
      <x:c r="B22" s="23" t="str">
        <x:v>.csv</x:v>
      </x:c>
      <x:c r="C22" s="27" t="n">
        <x:v>149</x:v>
      </x:c>
      <x:c r="D22" s="23" t="str">
        <x:v>utf-8-sig</x:v>
      </x:c>
      <x:c r="E22" s="23" t="n">
        <x:v>4</x:v>
      </x:c>
      <x:c r="F22" s="23" t="str"/>
      <x:c r="G22" s="23" t="str"/>
      <x:c r="H22" s="23" t="str">
        <x:v>ok</x:v>
      </x:c>
      <x:c r="I22" s="25" t="str">
        <x:v>97ad8b15219b59b5eeb72ca76ec23a9d3928d1423a86aa5577ce326721d50161</x:v>
      </x:c>
    </x:row>
    <x:row r="23">
      <x:c r="A23" s="25" t="str">
        <x:v>googlesearchconsole/uma-free.com-Performance-on-Search-2026-08-03/フィルタ.csv</x:v>
      </x:c>
      <x:c r="B23" s="23" t="str">
        <x:v>.csv</x:v>
      </x:c>
      <x:c r="C23" s="27" t="n">
        <x:v>66</x:v>
      </x:c>
      <x:c r="D23" s="23" t="str">
        <x:v>utf-8-sig</x:v>
      </x:c>
      <x:c r="E23" s="23" t="n">
        <x:v>3</x:v>
      </x:c>
      <x:c r="F23" s="23" t="str"/>
      <x:c r="G23" s="23" t="str"/>
      <x:c r="H23" s="23" t="str">
        <x:v>ok</x:v>
      </x:c>
      <x:c r="I23" s="25" t="str">
        <x:v>ffd10977ceb53b59d3e8ffa7dbc14e5cd0953995289f37d30a2f06d02aefddd6</x:v>
      </x:c>
    </x:row>
    <x:row r="24">
      <x:c r="A24" s="25" t="str">
        <x:v>googlesearchconsole/uma-free.com-Performance-on-Search-2026-08-03/ページ.csv</x:v>
      </x:c>
      <x:c r="B24" s="23" t="str">
        <x:v>.csv</x:v>
      </x:c>
      <x:c r="C24" s="27" t="n">
        <x:v>35302</x:v>
      </x:c>
      <x:c r="D24" s="23" t="str">
        <x:v>utf-8-sig</x:v>
      </x:c>
      <x:c r="E24" s="23" t="n">
        <x:v>548</x:v>
      </x:c>
      <x:c r="F24" s="23" t="str"/>
      <x:c r="G24" s="23" t="str"/>
      <x:c r="H24" s="23" t="str">
        <x:v>ok</x:v>
      </x:c>
      <x:c r="I24" s="25" t="str">
        <x:v>1c5c3cceca2790c9501c4547c65409072a389e8a02a6fa9b3ec2256365757a81</x:v>
      </x:c>
    </x:row>
    <x:row r="25">
      <x:c r="A25" s="25" t="str">
        <x:v>googlesearchconsole/uma-free.com-Performance-on-Search-2026-08-03/国.csv</x:v>
      </x:c>
      <x:c r="B25" s="23" t="str">
        <x:v>.csv</x:v>
      </x:c>
      <x:c r="C25" s="27" t="n">
        <x:v>3177</x:v>
      </x:c>
      <x:c r="D25" s="23" t="str">
        <x:v>utf-8-sig</x:v>
      </x:c>
      <x:c r="E25" s="23" t="n">
        <x:v>119</x:v>
      </x:c>
      <x:c r="F25" s="23" t="str"/>
      <x:c r="G25" s="23" t="str"/>
      <x:c r="H25" s="23" t="str">
        <x:v>ok</x:v>
      </x:c>
      <x:c r="I25" s="25" t="str">
        <x:v>acfeeace81d87e7c05b55a8902e03b451039611f568f44cf744e79a35d68322a</x:v>
      </x:c>
    </x:row>
    <x:row r="26">
      <x:c r="A26" s="25" t="str">
        <x:v>googlesearchconsole/uma-free.com-Performance-on-Search-2026-08-03/平均読み込み時間のチャート.csv</x:v>
      </x:c>
      <x:c r="B26" s="23" t="str">
        <x:v>.csv</x:v>
      </x:c>
      <x:c r="C26" s="27" t="n">
        <x:v>843</x:v>
      </x:c>
      <x:c r="D26" s="23" t="str">
        <x:v>utf-8-sig</x:v>
      </x:c>
      <x:c r="E26" s="23" t="n">
        <x:v>29</x:v>
      </x:c>
      <x:c r="F26" s="23" t="str"/>
      <x:c r="G26" s="23" t="str"/>
      <x:c r="H26" s="23" t="str">
        <x:v>ok</x:v>
      </x:c>
      <x:c r="I26" s="25" t="str">
        <x:v>397945d6083121f22454eccb6a05b7bd2bbb09cfa663bf7eaff331f38c599351</x:v>
      </x:c>
    </x:row>
    <x:row r="27">
      <x:c r="A27" s="25" t="str">
        <x:v>googlesearchconsole/uma-free.com-Performance-on-Search-2026-08-03/検索での見え方.csv</x:v>
      </x:c>
      <x:c r="B27" s="23" t="str">
        <x:v>.csv</x:v>
      </x:c>
      <x:c r="C27" s="27" t="n">
        <x:v>67</x:v>
      </x:c>
      <x:c r="D27" s="23" t="str">
        <x:v>utf-8-sig</x:v>
      </x:c>
      <x:c r="E27" s="23" t="n">
        <x:v>1</x:v>
      </x:c>
      <x:c r="F27" s="23" t="str"/>
      <x:c r="G27" s="23" t="str"/>
      <x:c r="H27" s="23" t="str">
        <x:v>ok</x:v>
      </x:c>
      <x:c r="I27" s="25" t="str">
        <x:v>3f592f1418ca8425d72a601dccca13f34ebfb0297f67209714651dd2e32564bd</x:v>
      </x:c>
    </x:row>
    <x:row r="28">
      <x:c r="A28" s="25" t="str">
        <x:v>rakutenlinkshare/TG318200_all_daily_report_20260701-20260803.csv</x:v>
      </x:c>
      <x:c r="B28" s="23" t="str">
        <x:v>.csv</x:v>
      </x:c>
      <x:c r="C28" s="27" t="n">
        <x:v>2382</x:v>
      </x:c>
      <x:c r="D28" s="23" t="str">
        <x:v>cp932</x:v>
      </x:c>
      <x:c r="E28" s="23" t="n">
        <x:v>40</x:v>
      </x:c>
      <x:c r="F28" s="23" t="str"/>
      <x:c r="G28" s="23" t="str"/>
      <x:c r="H28" s="23" t="str">
        <x:v>ok</x:v>
      </x:c>
      <x:c r="I28" s="25" t="str">
        <x:v>5d94265e434bfa81ac8b21040c07425a3303c3892e343d93b14fdf1b6b439661</x:v>
      </x:c>
    </x:row>
    <x:row r="29">
      <x:c r="A29" s="25" t="str">
        <x:v>rakutenlinkshare/gzse29hp.png</x:v>
      </x:c>
      <x:c r="B29" s="23" t="str">
        <x:v>.png</x:v>
      </x:c>
      <x:c r="C29" s="27" t="n">
        <x:v>60551</x:v>
      </x:c>
      <x:c r="D29" s="23" t="str"/>
      <x:c r="E29" s="23" t="str"/>
      <x:c r="F29" s="23" t="str"/>
      <x:c r="G29" s="23" t="str">
        <x:v>1976×350</x:v>
      </x:c>
      <x:c r="H29" s="23" t="str">
        <x:v>ok</x:v>
      </x:c>
      <x:c r="I29" s="25" t="str">
        <x:v>bd296097b7585ca6292c57cabc94f5b6e901d4708786efaa8298108760b8898a</x:v>
      </x:c>
    </x:row>
    <x:row r="30">
      <x:c r="A30" s="25" t="str">
        <x:v>rakutenlinkshare/広告情報.txt</x:v>
      </x:c>
      <x:c r="B30" s="23" t="str">
        <x:v>.txt</x:v>
      </x:c>
      <x:c r="C30" s="27" t="n">
        <x:v>0</x:v>
      </x:c>
      <x:c r="D30" s="23" t="str"/>
      <x:c r="E30" s="23" t="str"/>
      <x:c r="F30" s="23" t="str"/>
      <x:c r="G30" s="23" t="str"/>
      <x:c r="H30" s="23" t="str">
        <x:v>empty</x:v>
      </x:c>
      <x:c r="I30" s="25" t="str">
        <x:v>e3b0c44298fc1c149afbf4c8996fb92427ae41e4649b934ca495991b7852b855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6" hidden="0" customWidth="1"/>
    <x:col min="3" max="3" width="13" hidden="0" customWidth="1"/>
    <x:col min="4" max="4" width="10" hidden="0" customWidth="1"/>
    <x:col min="5" max="5" width="11" hidden="0" customWidth="1"/>
    <x:col min="6" max="6" width="12" hidden="0" customWidth="1"/>
    <x:col min="7" max="7" width="11" hidden="0" customWidth="1"/>
    <x:col min="8" max="8" width="12" hidden="0" customWidth="1"/>
    <x:col min="9" max="9" width="12" hidden="0" customWidth="1"/>
    <x:col min="10" max="10" width="10" hidden="0" customWidth="1"/>
    <x:col min="11" max="11" width="10" hidden="0" customWidth="1"/>
    <x:col min="12" max="12" width="12" hidden="0" customWidth="1"/>
    <x:col min="13" max="13" width="10" hidden="0" customWidth="1"/>
    <x:col min="14" max="14" width="12" hidden="0" customWidth="1"/>
  </x:cols>
  <x:sheetData>
    <x:row r="1" ht="34" customHeight="1">
      <x:c r="A1" s="3" t="str">
        <x:v>共通期間の日次クロス集計</x:v>
      </x:c>
      <x:c r="B1" s="3" t="str">
        <x:v>共通期間の日次クロス集計</x:v>
      </x:c>
      <x:c r="C1" s="3" t="str">
        <x:v>共通期間の日次クロス集計</x:v>
      </x:c>
      <x:c r="D1" s="3" t="str">
        <x:v>共通期間の日次クロス集計</x:v>
      </x:c>
      <x:c r="E1" s="3" t="str">
        <x:v>共通期間の日次クロス集計</x:v>
      </x:c>
      <x:c r="F1" s="3" t="str">
        <x:v>共通期間の日次クロス集計</x:v>
      </x:c>
      <x:c r="G1" s="3" t="str">
        <x:v>共通期間の日次クロス集計</x:v>
      </x:c>
      <x:c r="H1" s="3" t="str">
        <x:v>共通期間の日次クロス集計</x:v>
      </x:c>
      <x:c r="I1" s="3" t="str">
        <x:v>共通期間の日次クロス集計</x:v>
      </x:c>
      <x:c r="J1" s="3" t="str">
        <x:v>共通期間の日次クロス集計</x:v>
      </x:c>
      <x:c r="K1" s="3" t="str">
        <x:v>共通期間の日次クロス集計</x:v>
      </x:c>
      <x:c r="L1" s="3" t="str">
        <x:v>共通期間の日次クロス集計</x:v>
      </x:c>
      <x:c r="M1" s="3" t="str">
        <x:v>共通期間の日次クロス集計</x:v>
      </x:c>
      <x:c r="N1" s="3" t="str">
        <x:v>共通期間の日次クロス集計</x:v>
      </x:c>
    </x:row>
    <x:row r="2" ht="28" customHeight="1">
      <x:c r="A2" s="7" t="str">
        <x:v>比較可能期間 2026-07-07〜2026-07-31。媒体ごとの欠損は0で補わず、対象日に存在する行だけを転記</x:v>
      </x:c>
      <x:c r="B2" s="7" t="str">
        <x:v>比較可能期間 2026-07-07〜2026-07-31。媒体ごとの欠損は0で補わず、対象日に存在する行だけを転記</x:v>
      </x:c>
      <x:c r="C2" s="7" t="str">
        <x:v>比較可能期間 2026-07-07〜2026-07-31。媒体ごとの欠損は0で補わず、対象日に存在する行だけを転記</x:v>
      </x:c>
      <x:c r="D2" s="7" t="str">
        <x:v>比較可能期間 2026-07-07〜2026-07-31。媒体ごとの欠損は0で補わず、対象日に存在する行だけを転記</x:v>
      </x:c>
      <x:c r="E2" s="7" t="str">
        <x:v>比較可能期間 2026-07-07〜2026-07-31。媒体ごとの欠損は0で補わず、対象日に存在する行だけを転記</x:v>
      </x:c>
      <x:c r="F2" s="7" t="str">
        <x:v>比較可能期間 2026-07-07〜2026-07-31。媒体ごとの欠損は0で補わず、対象日に存在する行だけを転記</x:v>
      </x:c>
      <x:c r="G2" s="7" t="str">
        <x:v>比較可能期間 2026-07-07〜2026-07-31。媒体ごとの欠損は0で補わず、対象日に存在する行だけを転記</x:v>
      </x:c>
      <x:c r="H2" s="7" t="str">
        <x:v>比較可能期間 2026-07-07〜2026-07-31。媒体ごとの欠損は0で補わず、対象日に存在する行だけを転記</x:v>
      </x:c>
      <x:c r="I2" s="7" t="str">
        <x:v>比較可能期間 2026-07-07〜2026-07-31。媒体ごとの欠損は0で補わず、対象日に存在する行だけを転記</x:v>
      </x:c>
      <x:c r="J2" s="7" t="str">
        <x:v>比較可能期間 2026-07-07〜2026-07-31。媒体ごとの欠損は0で補わず、対象日に存在する行だけを転記</x:v>
      </x:c>
      <x:c r="K2" s="7" t="str">
        <x:v>比較可能期間 2026-07-07〜2026-07-31。媒体ごとの欠損は0で補わず、対象日に存在する行だけを転記</x:v>
      </x:c>
      <x:c r="L2" s="7" t="str">
        <x:v>比較可能期間 2026-07-07〜2026-07-31。媒体ごとの欠損は0で補わず、対象日に存在する行だけを転記</x:v>
      </x:c>
      <x:c r="M2" s="7" t="str">
        <x:v>比較可能期間 2026-07-07〜2026-07-31。媒体ごとの欠損は0で補わず、対象日に存在する行だけを転記</x:v>
      </x:c>
      <x:c r="N2" s="7" t="str">
        <x:v>比較可能期間 2026-07-07〜2026-07-31。媒体ごとの欠損は0で補わず、対象日に存在する行だけを転記</x:v>
      </x:c>
    </x:row>
    <x:row r="4" ht="26" customHeight="1">
      <x:c r="A4" s="16" t="str">
        <x:v>日付</x:v>
      </x:c>
      <x:c r="B4" s="17" t="str">
        <x:v>曜</x:v>
      </x:c>
      <x:c r="C4" s="17" t="str">
        <x:v>AdSense収益</x:v>
      </x:c>
      <x:c r="D4" s="17" t="str">
        <x:v>PV</x:v>
      </x:c>
      <x:c r="E4" s="17" t="str">
        <x:v>広告表示</x:v>
      </x:c>
      <x:c r="F4" s="17" t="str">
        <x:v>Page RPM</x:v>
      </x:c>
      <x:c r="G4" s="17" t="str">
        <x:v>Active View</x:v>
      </x:c>
      <x:c r="H4" s="17" t="str">
        <x:v>検索クリック</x:v>
      </x:c>
      <x:c r="I4" s="17" t="str">
        <x:v>検索表示</x:v>
      </x:c>
      <x:c r="J4" s="17" t="str">
        <x:v>検索CTR</x:v>
      </x:c>
      <x:c r="K4" s="17" t="str">
        <x:v>検索順位</x:v>
      </x:c>
      <x:c r="L4" s="17" t="str">
        <x:v>楽天クリック</x:v>
      </x:c>
      <x:c r="M4" s="17" t="str">
        <x:v>楽天発生</x:v>
      </x:c>
      <x:c r="N4" s="18" t="str">
        <x:v>広告表示/PV</x:v>
      </x:c>
    </x:row>
    <x:row r="5">
      <x:c r="A5" s="28" t="n">
        <x:v>46210</x:v>
      </x:c>
      <x:c r="B5" s="22" t="str">
        <x:v>Tue</x:v>
      </x:c>
      <x:c r="C5" s="30" t="n">
        <x:v>43</x:v>
      </x:c>
      <x:c r="D5" s="32" t="n">
        <x:v>184</x:v>
      </x:c>
      <x:c r="E5" s="32" t="n">
        <x:v>644</x:v>
      </x:c>
      <x:c r="F5" s="32" t="n">
        <x:v>234</x:v>
      </x:c>
      <x:c r="G5" s="34" t="n">
        <x:v>0.6154</x:v>
      </x:c>
      <x:c r="H5" s="26" t="n">
        <x:v>41</x:v>
      </x:c>
      <x:c r="I5" s="26" t="n">
        <x:v>1026</x:v>
      </x:c>
      <x:c r="J5" s="34" t="n">
        <x:v>0.04</x:v>
      </x:c>
      <x:c r="K5" s="36" t="n">
        <x:v>9.1</x:v>
      </x:c>
      <x:c r="L5" s="38" t="n">
        <x:v>10</x:v>
      </x:c>
      <x:c r="M5" s="38" t="n">
        <x:v>0</x:v>
      </x:c>
      <x:c r="N5" s="38" t="n">
        <x:f>IFERROR(E5/D5,0)</x:f>
        <x:v>3.5</x:v>
      </x:c>
    </x:row>
    <x:row r="6">
      <x:c r="A6" s="29" t="n">
        <x:v>46211</x:v>
      </x:c>
      <x:c r="B6" s="23" t="str">
        <x:v>Wed</x:v>
      </x:c>
      <x:c r="C6" s="31" t="n">
        <x:v>39</x:v>
      </x:c>
      <x:c r="D6" s="33" t="n">
        <x:v>201</x:v>
      </x:c>
      <x:c r="E6" s="33" t="n">
        <x:v>613</x:v>
      </x:c>
      <x:c r="F6" s="33" t="n">
        <x:v>194</x:v>
      </x:c>
      <x:c r="G6" s="35" t="n">
        <x:v>0.6084</x:v>
      </x:c>
      <x:c r="H6" s="27" t="n">
        <x:v>110</x:v>
      </x:c>
      <x:c r="I6" s="27" t="n">
        <x:v>2046</x:v>
      </x:c>
      <x:c r="J6" s="35" t="n">
        <x:v>0.0538</x:v>
      </x:c>
      <x:c r="K6" s="37" t="n">
        <x:v>7.9</x:v>
      </x:c>
      <x:c r="L6" s="39" t="n">
        <x:v>15</x:v>
      </x:c>
      <x:c r="M6" s="39" t="n">
        <x:v>0</x:v>
      </x:c>
      <x:c r="N6" s="39" t="n">
        <x:f>IFERROR(E6/D6,0)</x:f>
        <x:v>3.0497512437810945</x:v>
      </x:c>
    </x:row>
    <x:row r="7">
      <x:c r="A7" s="29" t="n">
        <x:v>46212</x:v>
      </x:c>
      <x:c r="B7" s="23" t="str">
        <x:v>Thu</x:v>
      </x:c>
      <x:c r="C7" s="31" t="n">
        <x:v>92</x:v>
      </x:c>
      <x:c r="D7" s="33" t="n">
        <x:v>345</x:v>
      </x:c>
      <x:c r="E7" s="33" t="n">
        <x:v>970</x:v>
      </x:c>
      <x:c r="F7" s="33" t="n">
        <x:v>267</x:v>
      </x:c>
      <x:c r="G7" s="35" t="n">
        <x:v>0.545</x:v>
      </x:c>
      <x:c r="H7" s="27" t="n">
        <x:v>86</x:v>
      </x:c>
      <x:c r="I7" s="27" t="n">
        <x:v>1882</x:v>
      </x:c>
      <x:c r="J7" s="35" t="n">
        <x:v>0.045700000000000005</x:v>
      </x:c>
      <x:c r="K7" s="37" t="n">
        <x:v>7.3</x:v>
      </x:c>
      <x:c r="L7" s="39" t="n">
        <x:v>13</x:v>
      </x:c>
      <x:c r="M7" s="39" t="n">
        <x:v>0</x:v>
      </x:c>
      <x:c r="N7" s="39" t="n">
        <x:f>IFERROR(E7/D7,0)</x:f>
        <x:v>2.8115942028985508</x:v>
      </x:c>
    </x:row>
    <x:row r="8">
      <x:c r="A8" s="29" t="n">
        <x:v>46213</x:v>
      </x:c>
      <x:c r="B8" s="23" t="str">
        <x:v>Fri</x:v>
      </x:c>
      <x:c r="C8" s="31" t="n">
        <x:v>29</x:v>
      </x:c>
      <x:c r="D8" s="33" t="n">
        <x:v>197</x:v>
      </x:c>
      <x:c r="E8" s="33" t="n">
        <x:v>546</x:v>
      </x:c>
      <x:c r="F8" s="33" t="n">
        <x:v>149</x:v>
      </x:c>
      <x:c r="G8" s="35" t="n">
        <x:v>0.5821</x:v>
      </x:c>
      <x:c r="H8" s="27" t="n">
        <x:v>27</x:v>
      </x:c>
      <x:c r="I8" s="27" t="n">
        <x:v>965</x:v>
      </x:c>
      <x:c r="J8" s="35" t="n">
        <x:v>0.027999999999999997</x:v>
      </x:c>
      <x:c r="K8" s="37" t="n">
        <x:v>7.6</x:v>
      </x:c>
      <x:c r="L8" s="39" t="n">
        <x:v>10</x:v>
      </x:c>
      <x:c r="M8" s="39" t="n">
        <x:v>0</x:v>
      </x:c>
      <x:c r="N8" s="39" t="n">
        <x:f>IFERROR(E8/D8,0)</x:f>
        <x:v>2.771573604060914</x:v>
      </x:c>
    </x:row>
    <x:row r="9">
      <x:c r="A9" s="29" t="n">
        <x:v>46214</x:v>
      </x:c>
      <x:c r="B9" s="23" t="str">
        <x:v>Sat</x:v>
      </x:c>
      <x:c r="C9" s="31" t="n">
        <x:v>43</x:v>
      </x:c>
      <x:c r="D9" s="33" t="n">
        <x:v>182</x:v>
      </x:c>
      <x:c r="E9" s="33" t="n">
        <x:v>1116</x:v>
      </x:c>
      <x:c r="F9" s="33" t="n">
        <x:v>238</x:v>
      </x:c>
      <x:c r="G9" s="35" t="n">
        <x:v>0.6573</x:v>
      </x:c>
      <x:c r="H9" s="27" t="n">
        <x:v>46</x:v>
      </x:c>
      <x:c r="I9" s="27" t="n">
        <x:v>1824</x:v>
      </x:c>
      <x:c r="J9" s="35" t="n">
        <x:v>0.0252</x:v>
      </x:c>
      <x:c r="K9" s="37" t="n">
        <x:v>7.6</x:v>
      </x:c>
      <x:c r="L9" s="39" t="n">
        <x:v>15</x:v>
      </x:c>
      <x:c r="M9" s="39" t="n">
        <x:v>0</x:v>
      </x:c>
      <x:c r="N9" s="39" t="n">
        <x:f>IFERROR(E9/D9,0)</x:f>
        <x:v>6.131868131868132</x:v>
      </x:c>
    </x:row>
    <x:row r="10">
      <x:c r="A10" s="29" t="n">
        <x:v>46215</x:v>
      </x:c>
      <x:c r="B10" s="23" t="str">
        <x:v>Sun</x:v>
      </x:c>
      <x:c r="C10" s="31" t="n">
        <x:v>61</x:v>
      </x:c>
      <x:c r="D10" s="33" t="n">
        <x:v>377</x:v>
      </x:c>
      <x:c r="E10" s="33" t="n">
        <x:v>1259</x:v>
      </x:c>
      <x:c r="F10" s="33" t="n">
        <x:v>161</x:v>
      </x:c>
      <x:c r="G10" s="35" t="n">
        <x:v>0.6262</x:v>
      </x:c>
      <x:c r="H10" s="27" t="n">
        <x:v>63</x:v>
      </x:c>
      <x:c r="I10" s="27" t="n">
        <x:v>1286</x:v>
      </x:c>
      <x:c r="J10" s="35" t="n">
        <x:v>0.049</x:v>
      </x:c>
      <x:c r="K10" s="37" t="n">
        <x:v>7.8</x:v>
      </x:c>
      <x:c r="L10" s="39" t="n">
        <x:v>10</x:v>
      </x:c>
      <x:c r="M10" s="39" t="n">
        <x:v>0</x:v>
      </x:c>
      <x:c r="N10" s="39" t="n">
        <x:f>IFERROR(E10/D10,0)</x:f>
        <x:v>3.339522546419098</x:v>
      </x:c>
    </x:row>
    <x:row r="11">
      <x:c r="A11" s="29" t="n">
        <x:v>46216</x:v>
      </x:c>
      <x:c r="B11" s="23" t="str">
        <x:v>Mon</x:v>
      </x:c>
      <x:c r="C11" s="31" t="n">
        <x:v>42</x:v>
      </x:c>
      <x:c r="D11" s="33" t="n">
        <x:v>129</x:v>
      </x:c>
      <x:c r="E11" s="33" t="n">
        <x:v>375</x:v>
      </x:c>
      <x:c r="F11" s="33" t="n">
        <x:v>327</x:v>
      </x:c>
      <x:c r="G11" s="35" t="n">
        <x:v>0.6756</x:v>
      </x:c>
      <x:c r="H11" s="27" t="n">
        <x:v>40</x:v>
      </x:c>
      <x:c r="I11" s="27" t="n">
        <x:v>1037</x:v>
      </x:c>
      <x:c r="J11" s="35" t="n">
        <x:v>0.038599999999999995</x:v>
      </x:c>
      <x:c r="K11" s="37" t="n">
        <x:v>7.7</x:v>
      </x:c>
      <x:c r="L11" s="39" t="n">
        <x:v>2</x:v>
      </x:c>
      <x:c r="M11" s="39" t="n">
        <x:v>0</x:v>
      </x:c>
      <x:c r="N11" s="39" t="n">
        <x:f>IFERROR(E11/D11,0)</x:f>
        <x:v>2.9069767441860463</x:v>
      </x:c>
    </x:row>
    <x:row r="12">
      <x:c r="A12" s="29" t="n">
        <x:v>46217</x:v>
      </x:c>
      <x:c r="B12" s="23" t="str">
        <x:v>Tue</x:v>
      </x:c>
      <x:c r="C12" s="31" t="n">
        <x:v>111</x:v>
      </x:c>
      <x:c r="D12" s="33" t="n">
        <x:v>182</x:v>
      </x:c>
      <x:c r="E12" s="33" t="n">
        <x:v>494</x:v>
      </x:c>
      <x:c r="F12" s="33" t="n">
        <x:v>607</x:v>
      </x:c>
      <x:c r="G12" s="35" t="n">
        <x:v>0.6564</x:v>
      </x:c>
      <x:c r="H12" s="27" t="n">
        <x:v>37</x:v>
      </x:c>
      <x:c r="I12" s="27" t="n">
        <x:v>1188</x:v>
      </x:c>
      <x:c r="J12" s="35" t="n">
        <x:v>0.0311</x:v>
      </x:c>
      <x:c r="K12" s="37" t="n">
        <x:v>7.8</x:v>
      </x:c>
      <x:c r="L12" s="39" t="n">
        <x:v>13</x:v>
      </x:c>
      <x:c r="M12" s="39" t="n">
        <x:v>0</x:v>
      </x:c>
      <x:c r="N12" s="39" t="n">
        <x:f>IFERROR(E12/D12,0)</x:f>
        <x:v>2.7142857142857144</x:v>
      </x:c>
    </x:row>
    <x:row r="13">
      <x:c r="A13" s="29" t="n">
        <x:v>46218</x:v>
      </x:c>
      <x:c r="B13" s="23" t="str">
        <x:v>Wed</x:v>
      </x:c>
      <x:c r="C13" s="31" t="n">
        <x:v>67</x:v>
      </x:c>
      <x:c r="D13" s="33" t="n">
        <x:v>115</x:v>
      </x:c>
      <x:c r="E13" s="33" t="n">
        <x:v>325</x:v>
      </x:c>
      <x:c r="F13" s="33" t="n">
        <x:v>578</x:v>
      </x:c>
      <x:c r="G13" s="35" t="n">
        <x:v>0.6125</x:v>
      </x:c>
      <x:c r="H13" s="27" t="n">
        <x:v>40</x:v>
      </x:c>
      <x:c r="I13" s="27" t="n">
        <x:v>904</x:v>
      </x:c>
      <x:c r="J13" s="35" t="n">
        <x:v>0.044199999999999996</x:v>
      </x:c>
      <x:c r="K13" s="37" t="n">
        <x:v>8.2</x:v>
      </x:c>
      <x:c r="L13" s="39" t="n">
        <x:v>16</x:v>
      </x:c>
      <x:c r="M13" s="39" t="n">
        <x:v>0</x:v>
      </x:c>
      <x:c r="N13" s="39" t="n">
        <x:f>IFERROR(E13/D13,0)</x:f>
        <x:v>2.8260869565217392</x:v>
      </x:c>
    </x:row>
    <x:row r="14">
      <x:c r="A14" s="29" t="n">
        <x:v>46219</x:v>
      </x:c>
      <x:c r="B14" s="23" t="str">
        <x:v>Thu</x:v>
      </x:c>
      <x:c r="C14" s="31" t="n">
        <x:v>57</x:v>
      </x:c>
      <x:c r="D14" s="33" t="n">
        <x:v>182</x:v>
      </x:c>
      <x:c r="E14" s="33" t="n">
        <x:v>400</x:v>
      </x:c>
      <x:c r="F14" s="33" t="n">
        <x:v>312</x:v>
      </x:c>
      <x:c r="G14" s="35" t="n">
        <x:v>0.6834</x:v>
      </x:c>
      <x:c r="H14" s="27" t="n">
        <x:v>29</x:v>
      </x:c>
      <x:c r="I14" s="27" t="n">
        <x:v>1194</x:v>
      </x:c>
      <x:c r="J14" s="35" t="n">
        <x:v>0.024300000000000002</x:v>
      </x:c>
      <x:c r="K14" s="37" t="n">
        <x:v>8.7</x:v>
      </x:c>
      <x:c r="L14" s="39" t="n">
        <x:v>11</x:v>
      </x:c>
      <x:c r="M14" s="39" t="n">
        <x:v>0</x:v>
      </x:c>
      <x:c r="N14" s="39" t="n">
        <x:f>IFERROR(E14/D14,0)</x:f>
        <x:v>2.197802197802198</x:v>
      </x:c>
    </x:row>
    <x:row r="15">
      <x:c r="A15" s="29" t="n">
        <x:v>46220</x:v>
      </x:c>
      <x:c r="B15" s="23" t="str">
        <x:v>Fri</x:v>
      </x:c>
      <x:c r="C15" s="31" t="n">
        <x:v>29</x:v>
      </x:c>
      <x:c r="D15" s="33" t="n">
        <x:v>125</x:v>
      </x:c>
      <x:c r="E15" s="33" t="n">
        <x:v>345</x:v>
      </x:c>
      <x:c r="F15" s="33" t="n">
        <x:v>229</x:v>
      </x:c>
      <x:c r="G15" s="35" t="n">
        <x:v>0.6587</x:v>
      </x:c>
      <x:c r="H15" s="27" t="n">
        <x:v>39</x:v>
      </x:c>
      <x:c r="I15" s="27" t="n">
        <x:v>1167</x:v>
      </x:c>
      <x:c r="J15" s="35" t="n">
        <x:v>0.0334</x:v>
      </x:c>
      <x:c r="K15" s="37" t="n">
        <x:v>7.6</x:v>
      </x:c>
      <x:c r="L15" s="39" t="n">
        <x:v>19</x:v>
      </x:c>
      <x:c r="M15" s="39" t="n">
        <x:v>0</x:v>
      </x:c>
      <x:c r="N15" s="39" t="n">
        <x:f>IFERROR(E15/D15,0)</x:f>
        <x:v>2.76</x:v>
      </x:c>
    </x:row>
    <x:row r="16">
      <x:c r="A16" s="29" t="n">
        <x:v>46221</x:v>
      </x:c>
      <x:c r="B16" s="23" t="str">
        <x:v>Sat</x:v>
      </x:c>
      <x:c r="C16" s="31" t="n">
        <x:v>58</x:v>
      </x:c>
      <x:c r="D16" s="33" t="n">
        <x:v>252</x:v>
      </x:c>
      <x:c r="E16" s="33" t="n">
        <x:v>509</x:v>
      </x:c>
      <x:c r="F16" s="33" t="n">
        <x:v>229</x:v>
      </x:c>
      <x:c r="G16" s="35" t="n">
        <x:v>0.7106</x:v>
      </x:c>
      <x:c r="H16" s="27" t="n">
        <x:v>52</x:v>
      </x:c>
      <x:c r="I16" s="27" t="n">
        <x:v>1779</x:v>
      </x:c>
      <x:c r="J16" s="35" t="n">
        <x:v>0.0292</x:v>
      </x:c>
      <x:c r="K16" s="37" t="n">
        <x:v>8.2</x:v>
      </x:c>
      <x:c r="L16" s="39" t="n">
        <x:v>23</x:v>
      </x:c>
      <x:c r="M16" s="39" t="n">
        <x:v>0</x:v>
      </x:c>
      <x:c r="N16" s="39" t="n">
        <x:f>IFERROR(E16/D16,0)</x:f>
        <x:v>2.0198412698412698</x:v>
      </x:c>
    </x:row>
    <x:row r="17">
      <x:c r="A17" s="29" t="n">
        <x:v>46222</x:v>
      </x:c>
      <x:c r="B17" s="23" t="str">
        <x:v>Sun</x:v>
      </x:c>
      <x:c r="C17" s="31" t="n">
        <x:v>195</x:v>
      </x:c>
      <x:c r="D17" s="33" t="n">
        <x:v>406</x:v>
      </x:c>
      <x:c r="E17" s="33" t="n">
        <x:v>981</x:v>
      </x:c>
      <x:c r="F17" s="33" t="n">
        <x:v>480</x:v>
      </x:c>
      <x:c r="G17" s="35" t="n">
        <x:v>0.6828</x:v>
      </x:c>
      <x:c r="H17" s="27" t="n">
        <x:v>138</x:v>
      </x:c>
      <x:c r="I17" s="27" t="n">
        <x:v>3240</x:v>
      </x:c>
      <x:c r="J17" s="35" t="n">
        <x:v>0.0426</x:v>
      </x:c>
      <x:c r="K17" s="37" t="n">
        <x:v>9.5</x:v>
      </x:c>
      <x:c r="L17" s="39" t="n">
        <x:v>14</x:v>
      </x:c>
      <x:c r="M17" s="39" t="n">
        <x:v>0</x:v>
      </x:c>
      <x:c r="N17" s="39" t="n">
        <x:f>IFERROR(E17/D17,0)</x:f>
        <x:v>2.416256157635468</x:v>
      </x:c>
    </x:row>
    <x:row r="18">
      <x:c r="A18" s="29" t="n">
        <x:v>46223</x:v>
      </x:c>
      <x:c r="B18" s="23" t="str">
        <x:v>Mon</x:v>
      </x:c>
      <x:c r="C18" s="31" t="n">
        <x:v>53</x:v>
      </x:c>
      <x:c r="D18" s="33" t="n">
        <x:v>327</x:v>
      </x:c>
      <x:c r="E18" s="33" t="n">
        <x:v>869</x:v>
      </x:c>
      <x:c r="F18" s="33" t="n">
        <x:v>162</x:v>
      </x:c>
      <x:c r="G18" s="35" t="n">
        <x:v>0.6616</x:v>
      </x:c>
      <x:c r="H18" s="27" t="n">
        <x:v>62</x:v>
      </x:c>
      <x:c r="I18" s="27" t="n">
        <x:v>1461</x:v>
      </x:c>
      <x:c r="J18" s="35" t="n">
        <x:v>0.0424</x:v>
      </x:c>
      <x:c r="K18" s="37" t="n">
        <x:v>8.7</x:v>
      </x:c>
      <x:c r="L18" s="39" t="n">
        <x:v>12</x:v>
      </x:c>
      <x:c r="M18" s="39" t="n">
        <x:v>0</x:v>
      </x:c>
      <x:c r="N18" s="39" t="n">
        <x:f>IFERROR(E18/D18,0)</x:f>
        <x:v>2.6574923547400613</x:v>
      </x:c>
    </x:row>
    <x:row r="19">
      <x:c r="A19" s="29" t="n">
        <x:v>46224</x:v>
      </x:c>
      <x:c r="B19" s="23" t="str">
        <x:v>Tue</x:v>
      </x:c>
      <x:c r="C19" s="31" t="n">
        <x:v>53</x:v>
      </x:c>
      <x:c r="D19" s="33" t="n">
        <x:v>163</x:v>
      </x:c>
      <x:c r="E19" s="33" t="n">
        <x:v>446</x:v>
      </x:c>
      <x:c r="F19" s="33" t="n">
        <x:v>327</x:v>
      </x:c>
      <x:c r="G19" s="35" t="n">
        <x:v>0.6797</x:v>
      </x:c>
      <x:c r="H19" s="27" t="n">
        <x:v>37</x:v>
      </x:c>
      <x:c r="I19" s="27" t="n">
        <x:v>809</x:v>
      </x:c>
      <x:c r="J19" s="35" t="n">
        <x:v>0.045700000000000005</x:v>
      </x:c>
      <x:c r="K19" s="37" t="n">
        <x:v>8.5</x:v>
      </x:c>
      <x:c r="L19" s="39" t="n">
        <x:v>15</x:v>
      </x:c>
      <x:c r="M19" s="39" t="n">
        <x:v>0</x:v>
      </x:c>
      <x:c r="N19" s="39" t="n">
        <x:f>IFERROR(E19/D19,0)</x:f>
        <x:v>2.736196319018405</x:v>
      </x:c>
    </x:row>
    <x:row r="20">
      <x:c r="A20" s="29" t="n">
        <x:v>46225</x:v>
      </x:c>
      <x:c r="B20" s="23" t="str">
        <x:v>Wed</x:v>
      </x:c>
      <x:c r="C20" s="31" t="n">
        <x:v>35</x:v>
      </x:c>
      <x:c r="D20" s="33" t="n">
        <x:v>210</x:v>
      </x:c>
      <x:c r="E20" s="33" t="n">
        <x:v>567</x:v>
      </x:c>
      <x:c r="F20" s="33" t="n">
        <x:v>165</x:v>
      </x:c>
      <x:c r="G20" s="35" t="n">
        <x:v>0.6946</x:v>
      </x:c>
      <x:c r="H20" s="27" t="n">
        <x:v>41</x:v>
      </x:c>
      <x:c r="I20" s="27" t="n">
        <x:v>880</x:v>
      </x:c>
      <x:c r="J20" s="35" t="n">
        <x:v>0.0466</x:v>
      </x:c>
      <x:c r="K20" s="37" t="n">
        <x:v>7.6</x:v>
      </x:c>
      <x:c r="L20" s="39" t="n">
        <x:v>16</x:v>
      </x:c>
      <x:c r="M20" s="39" t="n">
        <x:v>0</x:v>
      </x:c>
      <x:c r="N20" s="39" t="n">
        <x:f>IFERROR(E20/D20,0)</x:f>
        <x:v>2.7</x:v>
      </x:c>
    </x:row>
    <x:row r="21">
      <x:c r="A21" s="29" t="n">
        <x:v>46226</x:v>
      </x:c>
      <x:c r="B21" s="23" t="str">
        <x:v>Thu</x:v>
      </x:c>
      <x:c r="C21" s="31" t="n">
        <x:v>41</x:v>
      </x:c>
      <x:c r="D21" s="33" t="n">
        <x:v>206</x:v>
      </x:c>
      <x:c r="E21" s="33" t="n">
        <x:v>545</x:v>
      </x:c>
      <x:c r="F21" s="33" t="n">
        <x:v>199</x:v>
      </x:c>
      <x:c r="G21" s="35" t="n">
        <x:v>0.6867</x:v>
      </x:c>
      <x:c r="H21" s="27" t="n">
        <x:v>26</x:v>
      </x:c>
      <x:c r="I21" s="27" t="n">
        <x:v>651</x:v>
      </x:c>
      <x:c r="J21" s="35" t="n">
        <x:v>0.039900000000000005</x:v>
      </x:c>
      <x:c r="K21" s="37" t="n">
        <x:v>7</x:v>
      </x:c>
      <x:c r="L21" s="39" t="n">
        <x:v>22</x:v>
      </x:c>
      <x:c r="M21" s="39" t="n">
        <x:v>0</x:v>
      </x:c>
      <x:c r="N21" s="39" t="n">
        <x:f>IFERROR(E21/D21,0)</x:f>
        <x:v>2.645631067961165</x:v>
      </x:c>
    </x:row>
    <x:row r="22">
      <x:c r="A22" s="29" t="n">
        <x:v>46227</x:v>
      </x:c>
      <x:c r="B22" s="23" t="str">
        <x:v>Fri</x:v>
      </x:c>
      <x:c r="C22" s="31" t="n">
        <x:v>25</x:v>
      </x:c>
      <x:c r="D22" s="33" t="n">
        <x:v>146</x:v>
      </x:c>
      <x:c r="E22" s="33" t="n">
        <x:v>364</x:v>
      </x:c>
      <x:c r="F22" s="33" t="n">
        <x:v>169</x:v>
      </x:c>
      <x:c r="G22" s="35" t="n">
        <x:v>0.6844</x:v>
      </x:c>
      <x:c r="H22" s="27" t="n">
        <x:v>16</x:v>
      </x:c>
      <x:c r="I22" s="27" t="n">
        <x:v>716</x:v>
      </x:c>
      <x:c r="J22" s="35" t="n">
        <x:v>0.0223</x:v>
      </x:c>
      <x:c r="K22" s="37" t="n">
        <x:v>7.9</x:v>
      </x:c>
      <x:c r="L22" s="39" t="n">
        <x:v>21</x:v>
      </x:c>
      <x:c r="M22" s="39" t="n">
        <x:v>0</x:v>
      </x:c>
      <x:c r="N22" s="39" t="n">
        <x:f>IFERROR(E22/D22,0)</x:f>
        <x:v>2.493150684931507</x:v>
      </x:c>
    </x:row>
    <x:row r="23">
      <x:c r="A23" s="29" t="n">
        <x:v>46228</x:v>
      </x:c>
      <x:c r="B23" s="23" t="str">
        <x:v>Sat</x:v>
      </x:c>
      <x:c r="C23" s="31" t="n">
        <x:v>59</x:v>
      </x:c>
      <x:c r="D23" s="33" t="n">
        <x:v>232</x:v>
      </x:c>
      <x:c r="E23" s="33" t="n">
        <x:v>668</x:v>
      </x:c>
      <x:c r="F23" s="33" t="n">
        <x:v>256</x:v>
      </x:c>
      <x:c r="G23" s="35" t="n">
        <x:v>0.6362</x:v>
      </x:c>
      <x:c r="H23" s="27" t="n">
        <x:v>40</x:v>
      </x:c>
      <x:c r="I23" s="27" t="n">
        <x:v>2686</x:v>
      </x:c>
      <x:c r="J23" s="35" t="n">
        <x:v>0.0149</x:v>
      </x:c>
      <x:c r="K23" s="37" t="n">
        <x:v>7.9</x:v>
      </x:c>
      <x:c r="L23" s="39" t="n">
        <x:v>44</x:v>
      </x:c>
      <x:c r="M23" s="39" t="n">
        <x:v>0</x:v>
      </x:c>
      <x:c r="N23" s="39" t="n">
        <x:f>IFERROR(E23/D23,0)</x:f>
        <x:v>2.8793103448275863</x:v>
      </x:c>
    </x:row>
    <x:row r="24">
      <x:c r="A24" s="29" t="n">
        <x:v>46229</x:v>
      </x:c>
      <x:c r="B24" s="23" t="str">
        <x:v>Sun</x:v>
      </x:c>
      <x:c r="C24" s="31" t="n">
        <x:v>61</x:v>
      </x:c>
      <x:c r="D24" s="33" t="n">
        <x:v>355</x:v>
      </x:c>
      <x:c r="E24" s="33" t="n">
        <x:v>960</x:v>
      </x:c>
      <x:c r="F24" s="33" t="n">
        <x:v>173</x:v>
      </x:c>
      <x:c r="G24" s="35" t="n">
        <x:v>0.6208</x:v>
      </x:c>
      <x:c r="H24" s="27" t="n">
        <x:v>72</x:v>
      </x:c>
      <x:c r="I24" s="27" t="n">
        <x:v>2446</x:v>
      </x:c>
      <x:c r="J24" s="35" t="n">
        <x:v>0.0294</x:v>
      </x:c>
      <x:c r="K24" s="37" t="n">
        <x:v>9.1</x:v>
      </x:c>
      <x:c r="L24" s="39" t="n">
        <x:v>25</x:v>
      </x:c>
      <x:c r="M24" s="39" t="n">
        <x:v>0</x:v>
      </x:c>
      <x:c r="N24" s="39" t="n">
        <x:f>IFERROR(E24/D24,0)</x:f>
        <x:v>2.704225352112676</x:v>
      </x:c>
    </x:row>
    <x:row r="25">
      <x:c r="A25" s="29" t="n">
        <x:v>46230</x:v>
      </x:c>
      <x:c r="B25" s="23" t="str">
        <x:v>Mon</x:v>
      </x:c>
      <x:c r="C25" s="31" t="n">
        <x:v>21</x:v>
      </x:c>
      <x:c r="D25" s="33" t="n">
        <x:v>135</x:v>
      </x:c>
      <x:c r="E25" s="33" t="n">
        <x:v>341</x:v>
      </x:c>
      <x:c r="F25" s="33" t="n">
        <x:v>156</x:v>
      </x:c>
      <x:c r="G25" s="35" t="n">
        <x:v>0.6437</x:v>
      </x:c>
      <x:c r="H25" s="27" t="n">
        <x:v>74</x:v>
      </x:c>
      <x:c r="I25" s="27" t="n">
        <x:v>1064</x:v>
      </x:c>
      <x:c r="J25" s="35" t="n">
        <x:v>0.0695</x:v>
      </x:c>
      <x:c r="K25" s="37" t="n">
        <x:v>9.5</x:v>
      </x:c>
      <x:c r="L25" s="39" t="n">
        <x:v>5</x:v>
      </x:c>
      <x:c r="M25" s="39" t="n">
        <x:v>0</x:v>
      </x:c>
      <x:c r="N25" s="39" t="n">
        <x:f>IFERROR(E25/D25,0)</x:f>
        <x:v>2.525925925925926</x:v>
      </x:c>
    </x:row>
    <x:row r="26">
      <x:c r="A26" s="29" t="n">
        <x:v>46231</x:v>
      </x:c>
      <x:c r="B26" s="23" t="str">
        <x:v>Tue</x:v>
      </x:c>
      <x:c r="C26" s="31" t="n">
        <x:v>57</x:v>
      </x:c>
      <x:c r="D26" s="33" t="n">
        <x:v>296</x:v>
      </x:c>
      <x:c r="E26" s="33" t="n">
        <x:v>833</x:v>
      </x:c>
      <x:c r="F26" s="33" t="n">
        <x:v>191</x:v>
      </x:c>
      <x:c r="G26" s="35" t="n">
        <x:v>0.6522</x:v>
      </x:c>
      <x:c r="H26" s="27" t="n">
        <x:v>72</x:v>
      </x:c>
      <x:c r="I26" s="27" t="n">
        <x:v>832</x:v>
      </x:c>
      <x:c r="J26" s="35" t="n">
        <x:v>0.08650000000000001</x:v>
      </x:c>
      <x:c r="K26" s="37" t="n">
        <x:v>8.2</x:v>
      </x:c>
      <x:c r="L26" s="39" t="n">
        <x:v>22</x:v>
      </x:c>
      <x:c r="M26" s="39" t="n">
        <x:v>0</x:v>
      </x:c>
      <x:c r="N26" s="39" t="n">
        <x:f>IFERROR(E26/D26,0)</x:f>
        <x:v>2.814189189189189</x:v>
      </x:c>
    </x:row>
    <x:row r="27">
      <x:c r="A27" s="29" t="n">
        <x:v>46232</x:v>
      </x:c>
      <x:c r="B27" s="23" t="str">
        <x:v>Wed</x:v>
      </x:c>
      <x:c r="C27" s="31" t="n">
        <x:v>43</x:v>
      </x:c>
      <x:c r="D27" s="33" t="n">
        <x:v>190</x:v>
      </x:c>
      <x:c r="E27" s="33" t="n">
        <x:v>613</x:v>
      </x:c>
      <x:c r="F27" s="33" t="n">
        <x:v>225</x:v>
      </x:c>
      <x:c r="G27" s="35" t="n">
        <x:v>0.6388</x:v>
      </x:c>
      <x:c r="H27" s="27" t="n">
        <x:v>39</x:v>
      </x:c>
      <x:c r="I27" s="27" t="n">
        <x:v>470</x:v>
      </x:c>
      <x:c r="J27" s="35" t="n">
        <x:v>0.083</x:v>
      </x:c>
      <x:c r="K27" s="37" t="n">
        <x:v>8.1</x:v>
      </x:c>
      <x:c r="L27" s="39" t="n">
        <x:v>13</x:v>
      </x:c>
      <x:c r="M27" s="39" t="n">
        <x:v>0</x:v>
      </x:c>
      <x:c r="N27" s="39" t="n">
        <x:f>IFERROR(E27/D27,0)</x:f>
        <x:v>3.2263157894736842</x:v>
      </x:c>
    </x:row>
    <x:row r="28">
      <x:c r="A28" s="29" t="n">
        <x:v>46233</x:v>
      </x:c>
      <x:c r="B28" s="23" t="str">
        <x:v>Thu</x:v>
      </x:c>
      <x:c r="C28" s="31" t="n">
        <x:v>18</x:v>
      </x:c>
      <x:c r="D28" s="33" t="n">
        <x:v>76</x:v>
      </x:c>
      <x:c r="E28" s="33" t="n">
        <x:v>154</x:v>
      </x:c>
      <x:c r="F28" s="33" t="n">
        <x:v>237</x:v>
      </x:c>
      <x:c r="G28" s="35" t="n">
        <x:v>0.6954</x:v>
      </x:c>
      <x:c r="H28" s="27" t="n">
        <x:v>4</x:v>
      </x:c>
      <x:c r="I28" s="27" t="n">
        <x:v>337</x:v>
      </x:c>
      <x:c r="J28" s="35" t="n">
        <x:v>0.011899999999999999</x:v>
      </x:c>
      <x:c r="K28" s="37" t="n">
        <x:v>9.2</x:v>
      </x:c>
      <x:c r="L28" s="39" t="n">
        <x:v>16</x:v>
      </x:c>
      <x:c r="M28" s="39" t="n">
        <x:v>0</x:v>
      </x:c>
      <x:c r="N28" s="39" t="n">
        <x:f>IFERROR(E28/D28,0)</x:f>
        <x:v>2.026315789473684</x:v>
      </x:c>
    </x:row>
    <x:row r="29">
      <x:c r="A29" s="29" t="n">
        <x:v>46234</x:v>
      </x:c>
      <x:c r="B29" s="23" t="str">
        <x:v>Fri</x:v>
      </x:c>
      <x:c r="C29" s="31" t="n">
        <x:v>19</x:v>
      </x:c>
      <x:c r="D29" s="33" t="n">
        <x:v>101</x:v>
      </x:c>
      <x:c r="E29" s="33" t="n">
        <x:v>195</x:v>
      </x:c>
      <x:c r="F29" s="33" t="n">
        <x:v>183</x:v>
      </x:c>
      <x:c r="G29" s="35" t="n">
        <x:v>0.6754</x:v>
      </x:c>
      <x:c r="H29" s="27" t="n">
        <x:v>15</x:v>
      </x:c>
      <x:c r="I29" s="27" t="n">
        <x:v>556</x:v>
      </x:c>
      <x:c r="J29" s="35" t="n">
        <x:v>0.027000000000000003</x:v>
      </x:c>
      <x:c r="K29" s="37" t="n">
        <x:v>9.3</x:v>
      </x:c>
      <x:c r="L29" s="39" t="n">
        <x:v>16</x:v>
      </x:c>
      <x:c r="M29" s="39" t="n">
        <x:v>0</x:v>
      </x:c>
      <x:c r="N29" s="39" t="n">
        <x:f>IFERROR(E29/D29,0)</x:f>
        <x:v>1.9306930693069306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5" hidden="0" customWidth="1"/>
    <x:col min="4" max="4" width="4" hidden="0" customWidth="1"/>
    <x:col min="5" max="5" width="20" hidden="0" customWidth="1"/>
    <x:col min="6" max="6" width="18" hidden="0" customWidth="1"/>
    <x:col min="7" max="7" width="4" hidden="0" customWidth="1"/>
    <x:col min="8" max="8" width="4" hidden="0" customWidth="1"/>
  </x:cols>
  <x:sheetData>
    <x:row r="1" ht="34" customHeight="1">
      <x:c r="A1" s="3" t="str">
        <x:v>流入・新規再訪・端末</x:v>
      </x:c>
      <x:c r="B1" s="3" t="str">
        <x:v>流入・新規再訪・端末</x:v>
      </x:c>
      <x:c r="C1" s="3" t="str">
        <x:v>流入・新規再訪・端末</x:v>
      </x:c>
      <x:c r="D1" s="3" t="str">
        <x:v>流入・新規再訪・端末</x:v>
      </x:c>
      <x:c r="E1" s="3" t="str">
        <x:v>流入・新規再訪・端末</x:v>
      </x:c>
      <x:c r="F1" s="3" t="str">
        <x:v>流入・新規再訪・端末</x:v>
      </x:c>
      <x:c r="G1" s="3" t="str">
        <x:v>流入・新規再訪・端末</x:v>
      </x:c>
      <x:c r="H1" s="3" t="str">
        <x:v>流入・新規再訪・端末</x:v>
      </x:c>
    </x:row>
    <x:row r="2" ht="28" customHeight="1">
      <x:c r="A2" s="7" t="str">
        <x:v>GA4 2026-07-06〜2026-08-02。Unassignedは媒体別収益判断の品質ゲート</x:v>
      </x:c>
      <x:c r="B2" s="7" t="str">
        <x:v>GA4 2026-07-06〜2026-08-02。Unassignedは媒体別収益判断の品質ゲート</x:v>
      </x:c>
      <x:c r="C2" s="7" t="str">
        <x:v>GA4 2026-07-06〜2026-08-02。Unassignedは媒体別収益判断の品質ゲート</x:v>
      </x:c>
      <x:c r="D2" s="7" t="str">
        <x:v>GA4 2026-07-06〜2026-08-02。Unassignedは媒体別収益判断の品質ゲート</x:v>
      </x:c>
      <x:c r="E2" s="7" t="str">
        <x:v>GA4 2026-07-06〜2026-08-02。Unassignedは媒体別収益判断の品質ゲート</x:v>
      </x:c>
      <x:c r="F2" s="7" t="str">
        <x:v>GA4 2026-07-06〜2026-08-02。Unassignedは媒体別収益判断の品質ゲート</x:v>
      </x:c>
      <x:c r="G2" s="7" t="str">
        <x:v>GA4 2026-07-06〜2026-08-02。Unassignedは媒体別収益判断の品質ゲート</x:v>
      </x:c>
      <x:c r="H2" s="7" t="str">
        <x:v>GA4 2026-07-06〜2026-08-02。Unassignedは媒体別収益判断の品質ゲート</x:v>
      </x:c>
    </x:row>
    <x:row r="4" ht="24" customHeight="1">
      <x:c r="A4" s="41" t="str">
        <x:v>主要KPI</x:v>
      </x:c>
      <x:c r="B4" s="41" t="str">
        <x:v>主要KPI</x:v>
      </x:c>
      <x:c r="C4" s="41" t="str">
        <x:v>主要KPI</x:v>
      </x:c>
      <x:c r="D4" s="41" t="str">
        <x:v>主要KPI</x:v>
      </x:c>
      <x:c r="E4" s="41" t="str">
        <x:v>主要KPI</x:v>
      </x:c>
      <x:c r="F4" s="41" t="str">
        <x:v>主要KPI</x:v>
      </x:c>
      <x:c r="G4" s="41" t="str">
        <x:v>主要KPI</x:v>
      </x:c>
      <x:c r="H4" s="41" t="str">
        <x:v>主要KPI</x:v>
      </x:c>
    </x:row>
    <x:row r="5" ht="26" customHeight="1">
      <x:c r="A5" s="16" t="str">
        <x:v>指標</x:v>
      </x:c>
      <x:c r="B5" s="17" t="str">
        <x:v>値</x:v>
      </x:c>
      <x:c r="C5" s="18" t="str">
        <x:v>注記</x:v>
      </x:c>
    </x:row>
    <x:row r="6">
      <x:c r="A6" s="22" t="str">
        <x:v>アクティブユーザー</x:v>
      </x:c>
      <x:c r="B6" s="26" t="n">
        <x:v>2544</x:v>
      </x:c>
      <x:c r="C6" s="22" t="str">
        <x:v>期間内ユニーク</x:v>
      </x:c>
    </x:row>
    <x:row r="7">
      <x:c r="A7" s="23" t="str">
        <x:v>新規ユーザー</x:v>
      </x:c>
      <x:c r="B7" s="27" t="n">
        <x:v>2400</x:v>
      </x:c>
      <x:c r="C7" s="23" t="str">
        <x:v>アクティブ比は数式</x:v>
      </x:c>
    </x:row>
    <x:row r="8">
      <x:c r="A8" s="23" t="str">
        <x:v>新規比率</x:v>
      </x:c>
      <x:c r="B8" s="35" t="n">
        <x:f>IFERROR(B7/B6,0)</x:f>
        <x:v>0.9433962264150944</x:v>
      </x:c>
      <x:c r="C8" s="23" t="str">
        <x:v>新規ユーザー / アクティブユーザー</x:v>
      </x:c>
    </x:row>
    <x:row r="9">
      <x:c r="A9" s="23" t="str">
        <x:v>セッション</x:v>
      </x:c>
      <x:c r="B9" s="27" t="n">
        <x:v>5614</x:v>
      </x:c>
      <x:c r="C9" s="23" t="str">
        <x:v>チャネル合計</x:v>
      </x:c>
    </x:row>
    <x:row r="10">
      <x:c r="A10" s="23" t="str">
        <x:v>Unassigned比率</x:v>
      </x:c>
      <x:c r="B10" s="35" t="n">
        <x:f>IFERROR(SUMIF(A14:A31,"Unassigned",B14:B31)/B9,0)</x:f>
        <x:v>0.42768079800498754</x:v>
      </x:c>
      <x:c r="C10" s="23" t="str">
        <x:v>開始ゲートは7完全日連続5%未満</x:v>
      </x:c>
    </x:row>
    <x:row r="12" ht="24" customHeight="1">
      <x:c r="A12" s="41" t="str">
        <x:v>セッションのチャネル</x:v>
      </x:c>
      <x:c r="B12" s="41" t="str">
        <x:v>セッションのチャネル</x:v>
      </x:c>
      <x:c r="E12" s="41" t="str">
        <x:v>デバイス</x:v>
      </x:c>
      <x:c r="F12" s="41" t="str">
        <x:v>デバイス</x:v>
      </x:c>
    </x:row>
    <x:row r="13" ht="26" customHeight="1">
      <x:c r="A13" s="16" t="str">
        <x:v>チャネル</x:v>
      </x:c>
      <x:c r="B13" s="18" t="str">
        <x:v>セッション</x:v>
      </x:c>
      <x:c r="E13" s="16" t="str">
        <x:v>デバイス</x:v>
      </x:c>
      <x:c r="F13" s="18" t="str">
        <x:v>アクティブユーザー</x:v>
      </x:c>
    </x:row>
    <x:row r="14">
      <x:c r="A14" s="22" t="str">
        <x:v>Unassigned</x:v>
      </x:c>
      <x:c r="B14" s="26" t="n">
        <x:v>2401</x:v>
      </x:c>
      <x:c r="E14" s="22" t="str">
        <x:v>mobile</x:v>
      </x:c>
      <x:c r="F14" s="26" t="n">
        <x:v>1676</x:v>
      </x:c>
    </x:row>
    <x:row r="15">
      <x:c r="A15" s="23" t="str">
        <x:v>Organic Search</x:v>
      </x:c>
      <x:c r="B15" s="27" t="n">
        <x:v>2133</x:v>
      </x:c>
      <x:c r="E15" s="23" t="str">
        <x:v>desktop</x:v>
      </x:c>
      <x:c r="F15" s="27" t="n">
        <x:v>846</x:v>
      </x:c>
    </x:row>
    <x:row r="16">
      <x:c r="A16" s="23" t="str">
        <x:v>Direct</x:v>
      </x:c>
      <x:c r="B16" s="27" t="n">
        <x:v>443</x:v>
      </x:c>
      <x:c r="E16" s="23" t="str">
        <x:v>tablet</x:v>
      </x:c>
      <x:c r="F16" s="27" t="n">
        <x:v>27</x:v>
      </x:c>
    </x:row>
    <x:row r="17">
      <x:c r="A17" s="23" t="str">
        <x:v>Organic Social</x:v>
      </x:c>
      <x:c r="B17" s="27" t="n">
        <x:v>302</x:v>
      </x:c>
    </x:row>
    <x:row r="18">
      <x:c r="A18" s="23" t="str">
        <x:v>Referral</x:v>
      </x:c>
      <x:c r="B18" s="27" t="n">
        <x:v>287</x:v>
      </x:c>
    </x:row>
    <x:row r="19">
      <x:c r="A19" s="23" t="str">
        <x:v>AI Assistant</x:v>
      </x:c>
      <x:c r="B19" s="27" t="n">
        <x:v>40</x:v>
      </x:c>
    </x:row>
    <x:row r="20">
      <x:c r="A20" s="23" t="str">
        <x:v>Organic Video</x:v>
      </x:c>
      <x:c r="B20" s="27" t="n">
        <x:v>7</x:v>
      </x:c>
    </x:row>
    <x:row r="21">
      <x:c r="A21" s="23" t="str">
        <x:v>Cross-network</x:v>
      </x:c>
      <x:c r="B21" s="27" t="n">
        <x:v>1</x:v>
      </x:c>
    </x:row>
    <x:row r="34" ht="24" customHeight="1">
      <x:c r="A34" s="41" t="str">
        <x:v>参照元 / メディア</x:v>
      </x:c>
      <x:c r="B34" s="41" t="str">
        <x:v>参照元 / メディア</x:v>
      </x:c>
      <x:c r="C34" s="41" t="str">
        <x:v>参照元 / メディア</x:v>
      </x:c>
      <x:c r="D34" s="41" t="str">
        <x:v>参照元 / メディア</x:v>
      </x:c>
      <x:c r="E34" s="41" t="str">
        <x:v>参照元 / メディア</x:v>
      </x:c>
      <x:c r="F34" s="41" t="str">
        <x:v>参照元 / メディア</x:v>
      </x:c>
      <x:c r="G34" s="41" t="str">
        <x:v>参照元 / メディア</x:v>
      </x:c>
      <x:c r="H34" s="41" t="str">
        <x:v>参照元 / メディア</x:v>
      </x:c>
    </x:row>
    <x:row r="35" ht="26" customHeight="1">
      <x:c r="A35" s="16" t="str">
        <x:v>参照元 / メディア</x:v>
      </x:c>
      <x:c r="B35" s="18" t="str">
        <x:v>セッション</x:v>
      </x:c>
    </x:row>
    <x:row r="36">
      <x:c r="A36" s="22" t="str">
        <x:v>google / organic</x:v>
      </x:c>
      <x:c r="B36" s="26" t="n">
        <x:v>1350</x:v>
      </x:c>
    </x:row>
    <x:row r="37">
      <x:c r="A37" s="23" t="str">
        <x:v>yahoo / organic</x:v>
      </x:c>
      <x:c r="B37" s="27" t="n">
        <x:v>483</x:v>
      </x:c>
    </x:row>
    <x:row r="38">
      <x:c r="A38" s="23" t="str">
        <x:v>(direct) / (none)</x:v>
      </x:c>
      <x:c r="B38" s="27" t="n">
        <x:v>443</x:v>
      </x:c>
    </x:row>
    <x:row r="39">
      <x:c r="A39" s="23" t="str">
        <x:v>bing / organic</x:v>
      </x:c>
      <x:c r="B39" s="27" t="n">
        <x:v>282</x:v>
      </x:c>
    </x:row>
    <x:row r="40">
      <x:c r="A40" s="23" t="str">
        <x:v>l.threads.com / referral</x:v>
      </x:c>
      <x:c r="B40" s="27" t="n">
        <x:v>235</x:v>
      </x:c>
    </x:row>
    <x:row r="41">
      <x:c r="A41" s="23" t="str">
        <x:v>facebook.com / referral</x:v>
      </x:c>
      <x:c r="B41" s="27" t="n">
        <x:v>138</x:v>
      </x:c>
    </x:row>
    <x:row r="42">
      <x:c r="A42" s="23" t="str">
        <x:v>m.facebook.com / referral</x:v>
      </x:c>
      <x:c r="B42" s="27" t="n">
        <x:v>88</x:v>
      </x:c>
    </x:row>
    <x:row r="43">
      <x:c r="A43" s="23" t="str">
        <x:v>t.co / referral</x:v>
      </x:c>
      <x:c r="B43" s="27" t="n">
        <x:v>68</x:v>
      </x:c>
    </x:row>
    <x:row r="44">
      <x:c r="A44" s="23" t="str">
        <x:v>service.smt.docomo.ne.jp / referral</x:v>
      </x:c>
      <x:c r="B44" s="27" t="n">
        <x:v>47</x:v>
      </x:c>
    </x:row>
    <x:row r="45">
      <x:c r="A45" s="23" t="str">
        <x:v>openai / (not set)</x:v>
      </x:c>
      <x:c r="B45" s="27" t="n">
        <x:v>33</x:v>
      </x:c>
    </x:row>
    <x:row r="46">
      <x:c r="A46" s="23" t="str">
        <x:v>chatgpt.com / ai-assistant</x:v>
      </x:c>
      <x:c r="B46" s="27" t="n">
        <x:v>29</x:v>
      </x:c>
    </x:row>
    <x:row r="47">
      <x:c r="A47" s="23" t="str">
        <x:v>youtube / profile</x:v>
      </x:c>
      <x:c r="B47" s="27" t="n">
        <x:v>7</x:v>
      </x:c>
    </x:row>
    <x:row r="48">
      <x:c r="A48" s="23" t="str">
        <x:v>copilot.com / ai-assistant</x:v>
      </x:c>
      <x:c r="B48" s="27" t="n">
        <x:v>6</x:v>
      </x:c>
    </x:row>
    <x:row r="49">
      <x:c r="A49" s="23" t="str">
        <x:v>threads / social</x:v>
      </x:c>
      <x:c r="B49" s="27" t="n">
        <x:v>6</x:v>
      </x:c>
    </x:row>
    <x:row r="50">
      <x:c r="A50" s="23" t="str">
        <x:v>duckduckgo / organic</x:v>
      </x:c>
      <x:c r="B50" s="27" t="n">
        <x:v>5</x:v>
      </x:c>
    </x:row>
    <x:row r="51">
      <x:c r="A51" s="23" t="str">
        <x:v>search.portal.auone.jp / referral</x:v>
      </x:c>
      <x:c r="B51" s="27" t="n">
        <x:v>5</x:v>
      </x:c>
    </x:row>
    <x:row r="52">
      <x:c r="A52" s="23" t="str">
        <x:v>gemini.google.com / ai-assistant</x:v>
      </x:c>
      <x:c r="B52" s="27" t="n">
        <x:v>4</x:v>
      </x:c>
    </x:row>
    <x:row r="53">
      <x:c r="A53" s="23" t="str">
        <x:v>chatgpt.com / (none)</x:v>
      </x:c>
      <x:c r="B53" s="27" t="n">
        <x:v>2</x:v>
      </x:c>
    </x:row>
    <x:row r="54">
      <x:c r="A54" s="23" t="str">
        <x:v>nextgeeker.com / referral</x:v>
      </x:c>
      <x:c r="B54" s="27" t="n">
        <x:v>2</x:v>
      </x:c>
    </x:row>
    <x:row r="55">
      <x:c r="A55" s="23" t="str">
        <x:v>openai / (none)</x:v>
      </x:c>
      <x:c r="B55" s="27" t="n">
        <x:v>2</x:v>
      </x:c>
    </x:row>
    <x:row r="56">
      <x:c r="A56" s="23" t="str">
        <x:v>search.nifty.com / referral</x:v>
      </x:c>
      <x:c r="B56" s="27" t="n">
        <x:v>2</x:v>
      </x:c>
    </x:row>
    <x:row r="57">
      <x:c r="A57" s="23" t="str">
        <x:v>websearch.rakuten.co.jp / referral</x:v>
      </x:c>
      <x:c r="B57" s="27" t="n">
        <x:v>2</x:v>
      </x:c>
    </x:row>
    <x:row r="58">
      <x:c r="A58" s="23" t="str">
        <x:v>(data not available)</x:v>
      </x:c>
      <x:c r="B58" s="27" t="n">
        <x:v>1</x:v>
      </x:c>
    </x:row>
    <x:row r="59">
      <x:c r="A59" s="23" t="str">
        <x:v>copilot.com / (not set)</x:v>
      </x:c>
      <x:c r="B59" s="27" t="n">
        <x:v>1</x:v>
      </x:c>
    </x:row>
    <x:row r="60">
      <x:c r="A60" s="23" t="str">
        <x:v>copilot.microsoft.com / ai-assistant</x:v>
      </x:c>
      <x:c r="B60" s="27" t="n">
        <x:v>1</x:v>
      </x:c>
    </x:row>
    <x:row r="61">
      <x:c r="A61" s="23" t="str">
        <x:v>ecosia.org / organic</x:v>
      </x:c>
      <x:c r="B61" s="27" t="n">
        <x:v>1</x:v>
      </x:c>
    </x:row>
    <x:row r="62">
      <x:c r="A62" s="23" t="str">
        <x:v>kidsfilter.yahoo.jp / referral</x:v>
      </x:c>
      <x:c r="B62" s="27" t="n">
        <x:v>1</x:v>
      </x:c>
    </x:row>
    <x:row r="63">
      <x:c r="A63" s="23" t="str">
        <x:v>l.facebook.com / referral</x:v>
      </x:c>
      <x:c r="B63" s="27" t="n">
        <x:v>1</x:v>
      </x:c>
    </x:row>
    <x:row r="64">
      <x:c r="A64" s="23" t="str">
        <x:v>lm.facebook.com / referral</x:v>
      </x:c>
      <x:c r="B64" s="27" t="n">
        <x:v>1</x:v>
      </x:c>
    </x:row>
    <x:row r="65">
      <x:c r="A65" s="23" t="str">
        <x:v>notebooklm.google.com / referral</x:v>
      </x:c>
      <x:c r="B65" s="27" t="n">
        <x:v>1</x:v>
      </x:c>
    </x:row>
    <x:row r="66">
      <x:c r="A66" s="23" t="str">
        <x:v>ntp.msn.com / referral</x:v>
      </x:c>
      <x:c r="B66" s="27" t="n">
        <x:v>1</x:v>
      </x:c>
    </x:row>
    <x:row r="67">
      <x:c r="A67" s="23" t="str">
        <x:v>openai / </x:v>
      </x:c>
      <x:c r="B67" s="27" t="n">
        <x:v>1</x:v>
      </x:c>
    </x:row>
    <x:row r="68">
      <x:c r="A68" s="23" t="str">
        <x:v>openai / organic</x:v>
      </x:c>
      <x:c r="B68" s="27" t="n">
        <x:v>1</x:v>
      </x:c>
    </x:row>
    <x:row r="69">
      <x:c r="A69" s="23" t="str">
        <x:v>perplexity / (not set)</x:v>
      </x:c>
      <x:c r="B69" s="27" t="n">
        <x:v>1</x:v>
      </x:c>
    </x:row>
  </x:sheetData>
  <x:mergeCells>
    <x:mergeCell ref="A1:H1"/>
    <x:mergeCell ref="A2:H2"/>
    <x:mergeCell ref="A4:H4"/>
    <x:mergeCell ref="A12:B12"/>
    <x:mergeCell ref="E12:F12"/>
    <x:mergeCell ref="A34:H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10" hidden="0" customWidth="1"/>
    <x:col min="4" max="4" width="18" hidden="0" customWidth="1"/>
    <x:col min="5" max="5" width="10" hidden="0" customWidth="1"/>
    <x:col min="6" max="6" width="10" hidden="0" customWidth="1"/>
    <x:col min="7" max="7" width="11" hidden="0" customWidth="1"/>
    <x:col min="8" max="8" width="10" hidden="0" customWidth="1"/>
    <x:col min="9" max="9" width="9" hidden="0" customWidth="1"/>
    <x:col min="10" max="10" width="9" hidden="0" customWidth="1"/>
    <x:col min="11" max="11" width="11" hidden="0" customWidth="1"/>
    <x:col min="12" max="12" width="10" hidden="0" customWidth="1"/>
    <x:col min="13" max="13" width="12" hidden="0" customWidth="1"/>
    <x:col min="14" max="14" width="12" hidden="0" customWidth="1"/>
  </x:cols>
  <x:sheetData>
    <x:row r="1" ht="34" customHeight="1">
      <x:c r="A1" s="3" t="str">
        <x:v>SEO機会スコア</x:v>
      </x:c>
      <x:c r="B1" s="3" t="str">
        <x:v>SEO機会スコア</x:v>
      </x:c>
      <x:c r="C1" s="3" t="str">
        <x:v>SEO機会スコア</x:v>
      </x:c>
      <x:c r="D1" s="3" t="str">
        <x:v>SEO機会スコア</x:v>
      </x:c>
      <x:c r="E1" s="3" t="str">
        <x:v>SEO機会スコア</x:v>
      </x:c>
      <x:c r="F1" s="3" t="str">
        <x:v>SEO機会スコア</x:v>
      </x:c>
      <x:c r="G1" s="3" t="str">
        <x:v>SEO機会スコア</x:v>
      </x:c>
      <x:c r="H1" s="3" t="str">
        <x:v>SEO機会スコア</x:v>
      </x:c>
      <x:c r="I1" s="3" t="str">
        <x:v>SEO機会スコア</x:v>
      </x:c>
      <x:c r="J1" s="3" t="str">
        <x:v>SEO機会スコア</x:v>
      </x:c>
      <x:c r="K1" s="3" t="str">
        <x:v>SEO機会スコア</x:v>
      </x:c>
      <x:c r="L1" s="3" t="str">
        <x:v>SEO機会スコア</x:v>
      </x:c>
      <x:c r="M1" s="3" t="str">
        <x:v>SEO機会スコア</x:v>
      </x:c>
      <x:c r="N1" s="3" t="str">
        <x:v>SEO機会スコア</x:v>
      </x:c>
    </x:row>
    <x:row r="2" ht="28" customHeight="1">
      <x:c r="A2" s="7" t="str">
        <x:v>表示回数 × max(0, 同検索意図・同順位帯CTR中央値 - 実CTR) × ページ群別収益指数。スナップショットはdevice=all</x:v>
      </x:c>
      <x:c r="B2" s="7" t="str">
        <x:v>表示回数 × max(0, 同検索意図・同順位帯CTR中央値 - 実CTR) × ページ群別収益指数。スナップショットはdevice=all</x:v>
      </x:c>
      <x:c r="C2" s="7" t="str">
        <x:v>表示回数 × max(0, 同検索意図・同順位帯CTR中央値 - 実CTR) × ページ群別収益指数。スナップショットはdevice=all</x:v>
      </x:c>
      <x:c r="D2" s="7" t="str">
        <x:v>表示回数 × max(0, 同検索意図・同順位帯CTR中央値 - 実CTR) × ページ群別収益指数。スナップショットはdevice=all</x:v>
      </x:c>
      <x:c r="E2" s="7" t="str">
        <x:v>表示回数 × max(0, 同検索意図・同順位帯CTR中央値 - 実CTR) × ページ群別収益指数。スナップショットはdevice=all</x:v>
      </x:c>
      <x:c r="F2" s="7" t="str">
        <x:v>表示回数 × max(0, 同検索意図・同順位帯CTR中央値 - 実CTR) × ページ群別収益指数。スナップショットはdevice=all</x:v>
      </x:c>
      <x:c r="G2" s="7" t="str">
        <x:v>表示回数 × max(0, 同検索意図・同順位帯CTR中央値 - 実CTR) × ページ群別収益指数。スナップショットはdevice=all</x:v>
      </x:c>
      <x:c r="H2" s="7" t="str">
        <x:v>表示回数 × max(0, 同検索意図・同順位帯CTR中央値 - 実CTR) × ページ群別収益指数。スナップショットはdevice=all</x:v>
      </x:c>
      <x:c r="I2" s="7" t="str">
        <x:v>表示回数 × max(0, 同検索意図・同順位帯CTR中央値 - 実CTR) × ページ群別収益指数。スナップショットはdevice=all</x:v>
      </x:c>
      <x:c r="J2" s="7" t="str">
        <x:v>表示回数 × max(0, 同検索意図・同順位帯CTR中央値 - 実CTR) × ページ群別収益指数。スナップショットはdevice=all</x:v>
      </x:c>
      <x:c r="K2" s="7" t="str">
        <x:v>表示回数 × max(0, 同検索意図・同順位帯CTR中央値 - 実CTR) × ページ群別収益指数。スナップショットはdevice=all</x:v>
      </x:c>
      <x:c r="L2" s="7" t="str">
        <x:v>表示回数 × max(0, 同検索意図・同順位帯CTR中央値 - 実CTR) × ページ群別収益指数。スナップショットはdevice=all</x:v>
      </x:c>
      <x:c r="M2" s="7" t="str">
        <x:v>表示回数 × max(0, 同検索意図・同順位帯CTR中央値 - 実CTR) × ページ群別収益指数。スナップショットはdevice=all</x:v>
      </x:c>
      <x:c r="N2" s="7" t="str">
        <x:v>表示回数 × max(0, 同検索意図・同順位帯CTR中央値 - 実CTR) × ページ群別収益指数。スナップショットはdevice=all</x:v>
      </x:c>
    </x:row>
    <x:row r="4" ht="24" customHeight="1">
      <x:c r="A4" s="41" t="str">
        <x:v>ページ群</x:v>
      </x:c>
      <x:c r="B4" s="41" t="str">
        <x:v>ページ群</x:v>
      </x:c>
      <x:c r="C4" s="41" t="str">
        <x:v>ページ群</x:v>
      </x:c>
      <x:c r="D4" s="41" t="str">
        <x:v>ページ群</x:v>
      </x:c>
      <x:c r="E4" s="41" t="str">
        <x:v>ページ群</x:v>
      </x:c>
      <x:c r="F4" s="41" t="str">
        <x:v>ページ群</x:v>
      </x:c>
      <x:c r="G4" s="41" t="str">
        <x:v>ページ群</x:v>
      </x:c>
      <x:c r="H4" s="41" t="str">
        <x:v>ページ群</x:v>
      </x:c>
      <x:c r="I4" s="41" t="str">
        <x:v>ページ群</x:v>
      </x:c>
      <x:c r="J4" s="41" t="str">
        <x:v>ページ群</x:v>
      </x:c>
      <x:c r="K4" s="41" t="str">
        <x:v>ページ群</x:v>
      </x:c>
      <x:c r="L4" s="41" t="str">
        <x:v>ページ群</x:v>
      </x:c>
      <x:c r="M4" s="41" t="str">
        <x:v>ページ群</x:v>
      </x:c>
      <x:c r="N4" s="41" t="str">
        <x:v>ページ群</x:v>
      </x:c>
    </x:row>
    <x:row r="5" ht="26" customHeight="1">
      <x:c r="A5" s="16" t="str">
        <x:v>ページ群</x:v>
      </x:c>
      <x:c r="B5" s="17" t="str">
        <x:v>URL数</x:v>
      </x:c>
      <x:c r="C5" s="17" t="str">
        <x:v>クリック</x:v>
      </x:c>
      <x:c r="D5" s="17" t="str">
        <x:v>クリック構成</x:v>
      </x:c>
      <x:c r="E5" s="17" t="str">
        <x:v>表示</x:v>
      </x:c>
      <x:c r="F5" s="17" t="str">
        <x:v>CTR</x:v>
      </x:c>
      <x:c r="G5" s="18" t="str">
        <x:v>加重順位</x:v>
      </x:c>
    </x:row>
    <x:row r="6">
      <x:c r="A6" s="22" t="str">
        <x:v>article</x:v>
      </x:c>
      <x:c r="B6" s="26" t="n">
        <x:v>218</x:v>
      </x:c>
      <x:c r="C6" s="26" t="n">
        <x:v>955</x:v>
      </x:c>
      <x:c r="D6" s="34" t="n">
        <x:v>0.683608</x:v>
      </x:c>
      <x:c r="E6" s="26" t="n">
        <x:v>30923</x:v>
      </x:c>
      <x:c r="F6" s="42" t="n">
        <x:v>0.030883</x:v>
      </x:c>
      <x:c r="G6" s="36" t="n">
        <x:v>8.336</x:v>
      </x:c>
    </x:row>
    <x:row r="7">
      <x:c r="A7" s="23" t="str">
        <x:v>race_detail</x:v>
      </x:c>
      <x:c r="B7" s="27" t="n">
        <x:v>212</x:v>
      </x:c>
      <x:c r="C7" s="27" t="n">
        <x:v>246</x:v>
      </x:c>
      <x:c r="D7" s="35" t="n">
        <x:v>0.176092</x:v>
      </x:c>
      <x:c r="E7" s="27" t="n">
        <x:v>5118</x:v>
      </x:c>
      <x:c r="F7" s="43" t="n">
        <x:v>0.048066</x:v>
      </x:c>
      <x:c r="G7" s="37" t="n">
        <x:v>8.67</x:v>
      </x:c>
    </x:row>
    <x:row r="8">
      <x:c r="A8" s="23" t="str">
        <x:v>home</x:v>
      </x:c>
      <x:c r="B8" s="27" t="n">
        <x:v>1</x:v>
      </x:c>
      <x:c r="C8" s="27" t="n">
        <x:v>159</x:v>
      </x:c>
      <x:c r="D8" s="35" t="n">
        <x:v>0.113815</x:v>
      </x:c>
      <x:c r="E8" s="27" t="n">
        <x:v>1248</x:v>
      </x:c>
      <x:c r="F8" s="43" t="n">
        <x:v>0.127404</x:v>
      </x:c>
      <x:c r="G8" s="37" t="n">
        <x:v>9.63</x:v>
      </x:c>
    </x:row>
    <x:row r="9">
      <x:c r="A9" s="23" t="str">
        <x:v>data_hub</x:v>
      </x:c>
      <x:c r="B9" s="27" t="n">
        <x:v>41</x:v>
      </x:c>
      <x:c r="C9" s="27" t="n">
        <x:v>13</x:v>
      </x:c>
      <x:c r="D9" s="35" t="n">
        <x:v>0.009306</x:v>
      </x:c>
      <x:c r="E9" s="27" t="n">
        <x:v>377</x:v>
      </x:c>
      <x:c r="F9" s="43" t="n">
        <x:v>0.034483</x:v>
      </x:c>
      <x:c r="G9" s="37" t="n">
        <x:v>8.638</x:v>
      </x:c>
    </x:row>
    <x:row r="10">
      <x:c r="A10" s="23" t="str">
        <x:v>other</x:v>
      </x:c>
      <x:c r="B10" s="27" t="n">
        <x:v>10</x:v>
      </x:c>
      <x:c r="C10" s="27" t="n">
        <x:v>9</x:v>
      </x:c>
      <x:c r="D10" s="35" t="n">
        <x:v>0.006442</x:v>
      </x:c>
      <x:c r="E10" s="27" t="n">
        <x:v>596</x:v>
      </x:c>
      <x:c r="F10" s="43" t="n">
        <x:v>0.015101</x:v>
      </x:c>
      <x:c r="G10" s="37" t="n">
        <x:v>6.669</x:v>
      </x:c>
    </x:row>
    <x:row r="11">
      <x:c r="A11" s="23" t="str">
        <x:v>course</x:v>
      </x:c>
      <x:c r="B11" s="27" t="n">
        <x:v>18</x:v>
      </x:c>
      <x:c r="C11" s="27" t="n">
        <x:v>8</x:v>
      </x:c>
      <x:c r="D11" s="35" t="n">
        <x:v>0.005727</x:v>
      </x:c>
      <x:c r="E11" s="27" t="n">
        <x:v>295</x:v>
      </x:c>
      <x:c r="F11" s="43" t="n">
        <x:v>0.027119</x:v>
      </x:c>
      <x:c r="G11" s="37" t="n">
        <x:v>9.753</x:v>
      </x:c>
    </x:row>
    <x:row r="12">
      <x:c r="A12" s="23" t="str">
        <x:v>race_day</x:v>
      </x:c>
      <x:c r="B12" s="27" t="n">
        <x:v>38</x:v>
      </x:c>
      <x:c r="C12" s="27" t="n">
        <x:v>7</x:v>
      </x:c>
      <x:c r="D12" s="35" t="n">
        <x:v>0.005011</x:v>
      </x:c>
      <x:c r="E12" s="27" t="n">
        <x:v>333</x:v>
      </x:c>
      <x:c r="F12" s="43" t="n">
        <x:v>0.021021</x:v>
      </x:c>
      <x:c r="G12" s="37" t="n">
        <x:v>10.135</x:v>
      </x:c>
    </x:row>
    <x:row r="13">
      <x:c r="A13" s="23" t="str">
        <x:v>article_index</x:v>
      </x:c>
      <x:c r="B13" s="27" t="n">
        <x:v>4</x:v>
      </x:c>
      <x:c r="C13" s="27" t="n">
        <x:v>0</x:v>
      </x:c>
      <x:c r="D13" s="35" t="n">
        <x:v>0</x:v>
      </x:c>
      <x:c r="E13" s="27" t="n">
        <x:v>128</x:v>
      </x:c>
      <x:c r="F13" s="43" t="n">
        <x:v>0</x:v>
      </x:c>
      <x:c r="G13" s="37" t="n">
        <x:v>11.149</x:v>
      </x:c>
    </x:row>
    <x:row r="14">
      <x:c r="A14" s="23" t="str">
        <x:v>horse</x:v>
      </x:c>
      <x:c r="B14" s="27" t="n">
        <x:v>5</x:v>
      </x:c>
      <x:c r="C14" s="27" t="n">
        <x:v>0</x:v>
      </x:c>
      <x:c r="D14" s="35" t="n">
        <x:v>0</x:v>
      </x:c>
      <x:c r="E14" s="27" t="n">
        <x:v>5</x:v>
      </x:c>
      <x:c r="F14" s="43" t="n">
        <x:v>0</x:v>
      </x:c>
      <x:c r="G14" s="37" t="n">
        <x:v>27</x:v>
      </x:c>
    </x:row>
    <x:row r="16" ht="24" customHeight="1">
      <x:c r="A16" s="41" t="str">
        <x:v>検索語別機会</x:v>
      </x:c>
      <x:c r="B16" s="41" t="str">
        <x:v>検索語別機会</x:v>
      </x:c>
      <x:c r="C16" s="41" t="str">
        <x:v>検索語別機会</x:v>
      </x:c>
      <x:c r="D16" s="41" t="str">
        <x:v>検索語別機会</x:v>
      </x:c>
      <x:c r="E16" s="41" t="str">
        <x:v>検索語別機会</x:v>
      </x:c>
      <x:c r="F16" s="41" t="str">
        <x:v>検索語別機会</x:v>
      </x:c>
      <x:c r="G16" s="41" t="str">
        <x:v>検索語別機会</x:v>
      </x:c>
      <x:c r="H16" s="41" t="str">
        <x:v>検索語別機会</x:v>
      </x:c>
      <x:c r="I16" s="41" t="str">
        <x:v>検索語別機会</x:v>
      </x:c>
      <x:c r="J16" s="41" t="str">
        <x:v>検索語別機会</x:v>
      </x:c>
      <x:c r="K16" s="41" t="str">
        <x:v>検索語別機会</x:v>
      </x:c>
      <x:c r="L16" s="41" t="str">
        <x:v>検索語別機会</x:v>
      </x:c>
      <x:c r="M16" s="41" t="str">
        <x:v>検索語別機会</x:v>
      </x:c>
      <x:c r="N16" s="41" t="str">
        <x:v>検索語別機会</x:v>
      </x:c>
    </x:row>
    <x:row r="17" ht="26" customHeight="1">
      <x:c r="A17" s="16" t="str">
        <x:v>検索語</x:v>
      </x:c>
      <x:c r="B17" s="17" t="str">
        <x:v>主意図</x:v>
      </x:c>
      <x:c r="C17" s="17" t="str">
        <x:v>区分</x:v>
      </x:c>
      <x:c r="D17" s="17" t="str">
        <x:v>段階</x:v>
      </x:c>
      <x:c r="E17" s="17" t="str">
        <x:v>順位帯</x:v>
      </x:c>
      <x:c r="F17" s="17" t="str">
        <x:v>クリック</x:v>
      </x:c>
      <x:c r="G17" s="17" t="str">
        <x:v>表示</x:v>
      </x:c>
      <x:c r="H17" s="17" t="str">
        <x:v>CTR</x:v>
      </x:c>
      <x:c r="I17" s="17" t="str">
        <x:v>順位</x:v>
      </x:c>
      <x:c r="J17" s="17" t="str">
        <x:v>device</x:v>
      </x:c>
      <x:c r="K17" s="17" t="str">
        <x:v>中央値CTR</x:v>
      </x:c>
      <x:c r="L17" s="17" t="str">
        <x:v>収益指数</x:v>
      </x:c>
      <x:c r="M17" s="17" t="str">
        <x:v>取逃しclick</x:v>
      </x:c>
      <x:c r="N17" s="18" t="str">
        <x:v>機会score</x:v>
      </x:c>
    </x:row>
    <x:row r="18">
      <x:c r="A18" s="24" t="str">
        <x:v>マーキュリーカップ2026</x:v>
      </x:c>
      <x:c r="B18" s="22" t="str">
        <x:v>race_entity</x:v>
      </x:c>
      <x:c r="C18" s="22" t="str">
        <x:v>unknown</x:v>
      </x:c>
      <x:c r="D18" s="22" t="str">
        <x:v>evergreen</x:v>
      </x:c>
      <x:c r="E18" s="22" t="str">
        <x:v>11-15</x:v>
      </x:c>
      <x:c r="F18" s="26" t="n">
        <x:v>6</x:v>
      </x:c>
      <x:c r="G18" s="26" t="n">
        <x:v>292</x:v>
      </x:c>
      <x:c r="H18" s="42" t="n">
        <x:v>0.020499999999999997</x:v>
      </x:c>
      <x:c r="I18" s="36" t="n">
        <x:v>10.65</x:v>
      </x:c>
      <x:c r="J18" s="22" t="str">
        <x:v>all</x:v>
      </x:c>
      <x:c r="K18" s="42" t="n">
        <x:v>0.0281</x:v>
      </x:c>
      <x:c r="L18" s="36" t="n">
        <x:v>1</x:v>
      </x:c>
      <x:c r="M18" s="36" t="n">
        <x:v>2.219</x:v>
      </x:c>
      <x:c r="N18" s="36" t="n">
        <x:v>2.219</x:v>
      </x:c>
    </x:row>
    <x:row r="19">
      <x:c r="A19" s="25" t="str">
        <x:v>アイビス サマー ダッシュ 2026</x:v>
      </x:c>
      <x:c r="B19" s="23" t="str">
        <x:v>race_entity</x:v>
      </x:c>
      <x:c r="C19" s="23" t="str">
        <x:v>unknown</x:v>
      </x:c>
      <x:c r="D19" s="23" t="str">
        <x:v>evergreen</x:v>
      </x:c>
      <x:c r="E19" s="23" t="str">
        <x:v>11-15</x:v>
      </x:c>
      <x:c r="F19" s="27" t="n">
        <x:v>3</x:v>
      </x:c>
      <x:c r="G19" s="27" t="n">
        <x:v>158</x:v>
      </x:c>
      <x:c r="H19" s="43" t="n">
        <x:v>0.019</x:v>
      </x:c>
      <x:c r="I19" s="37" t="n">
        <x:v>10.27</x:v>
      </x:c>
      <x:c r="J19" s="23" t="str">
        <x:v>all</x:v>
      </x:c>
      <x:c r="K19" s="43" t="n">
        <x:v>0.0281</x:v>
      </x:c>
      <x:c r="L19" s="37" t="n">
        <x:v>1</x:v>
      </x:c>
      <x:c r="M19" s="37" t="n">
        <x:v>1.438</x:v>
      </x:c>
      <x:c r="N19" s="37" t="n">
        <x:v>1.438</x:v>
      </x:c>
    </x:row>
    <x:row r="20">
      <x:c r="A20" s="25" t="str">
        <x:v>ス パーキング レディー カップ 2026 出走 予定</x:v>
      </x:c>
      <x:c r="B20" s="23" t="str">
        <x:v>race_entity</x:v>
      </x:c>
      <x:c r="C20" s="23" t="str">
        <x:v>unknown</x:v>
      </x:c>
      <x:c r="D20" s="23" t="str">
        <x:v>evergreen</x:v>
      </x:c>
      <x:c r="E20" s="23" t="str">
        <x:v>11-15</x:v>
      </x:c>
      <x:c r="F20" s="27" t="n">
        <x:v>0</x:v>
      </x:c>
      <x:c r="G20" s="27" t="n">
        <x:v>28</x:v>
      </x:c>
      <x:c r="H20" s="43" t="n">
        <x:v>0</x:v>
      </x:c>
      <x:c r="I20" s="37" t="n">
        <x:v>10.36</x:v>
      </x:c>
      <x:c r="J20" s="23" t="str">
        <x:v>all</x:v>
      </x:c>
      <x:c r="K20" s="43" t="n">
        <x:v>0.0281</x:v>
      </x:c>
      <x:c r="L20" s="37" t="n">
        <x:v>1</x:v>
      </x:c>
      <x:c r="M20" s="37" t="n">
        <x:v>0.787</x:v>
      </x:c>
      <x:c r="N20" s="37" t="n">
        <x:v>0.787</x:v>
      </x:c>
    </x:row>
    <x:row r="21">
      <x:c r="A21" s="25" t="str">
        <x:v>スパーキングレディーカップ 2026 出馬表</x:v>
      </x:c>
      <x:c r="B21" s="23" t="str">
        <x:v>race_entity</x:v>
      </x:c>
      <x:c r="C21" s="23" t="str">
        <x:v>unknown</x:v>
      </x:c>
      <x:c r="D21" s="23" t="str">
        <x:v>evergreen</x:v>
      </x:c>
      <x:c r="E21" s="23" t="str">
        <x:v>11-15</x:v>
      </x:c>
      <x:c r="F21" s="27" t="n">
        <x:v>0</x:v>
      </x:c>
      <x:c r="G21" s="27" t="n">
        <x:v>2</x:v>
      </x:c>
      <x:c r="H21" s="43" t="n">
        <x:v>0</x:v>
      </x:c>
      <x:c r="I21" s="37" t="n">
        <x:v>13.5</x:v>
      </x:c>
      <x:c r="J21" s="23" t="str">
        <x:v>all</x:v>
      </x:c>
      <x:c r="K21" s="43" t="n">
        <x:v>0.0281</x:v>
      </x:c>
      <x:c r="L21" s="37" t="n">
        <x:v>1</x:v>
      </x:c>
      <x:c r="M21" s="37" t="n">
        <x:v>0.056</x:v>
      </x:c>
      <x:c r="N21" s="37" t="n">
        <x:v>0.056</x:v>
      </x:c>
    </x:row>
    <x:row r="22">
      <x:c r="A22" s="25" t="str">
        <x:v>アイビス サマー ダッシュ どこ</x:v>
      </x:c>
      <x:c r="B22" s="23" t="str">
        <x:v>race_entity</x:v>
      </x:c>
      <x:c r="C22" s="23" t="str">
        <x:v>unknown</x:v>
      </x:c>
      <x:c r="D22" s="23" t="str">
        <x:v>evergreen</x:v>
      </x:c>
      <x:c r="E22" s="23" t="str">
        <x:v>11-15</x:v>
      </x:c>
      <x:c r="F22" s="27" t="n">
        <x:v>0</x:v>
      </x:c>
      <x:c r="G22" s="27" t="n">
        <x:v>1</x:v>
      </x:c>
      <x:c r="H22" s="43" t="n">
        <x:v>0</x:v>
      </x:c>
      <x:c r="I22" s="37" t="n">
        <x:v>11</x:v>
      </x:c>
      <x:c r="J22" s="23" t="str">
        <x:v>all</x:v>
      </x:c>
      <x:c r="K22" s="43" t="n">
        <x:v>0.0281</x:v>
      </x:c>
      <x:c r="L22" s="37" t="n">
        <x:v>1</x:v>
      </x:c>
      <x:c r="M22" s="37" t="n">
        <x:v>0.028</x:v>
      </x:c>
      <x:c r="N22" s="37" t="n">
        <x:v>0.028</x:v>
      </x:c>
    </x:row>
    <x:row r="23">
      <x:c r="A23" s="25" t="str">
        <x:v>マーキュリーカップ 2026 出馬表</x:v>
      </x:c>
      <x:c r="B23" s="23" t="str">
        <x:v>race_entity</x:v>
      </x:c>
      <x:c r="C23" s="23" t="str">
        <x:v>unknown</x:v>
      </x:c>
      <x:c r="D23" s="23" t="str">
        <x:v>evergreen</x:v>
      </x:c>
      <x:c r="E23" s="23" t="str">
        <x:v>11-15</x:v>
      </x:c>
      <x:c r="F23" s="27" t="n">
        <x:v>0</x:v>
      </x:c>
      <x:c r="G23" s="27" t="n">
        <x:v>1</x:v>
      </x:c>
      <x:c r="H23" s="43" t="n">
        <x:v>0</x:v>
      </x:c>
      <x:c r="I23" s="37" t="n">
        <x:v>14</x:v>
      </x:c>
      <x:c r="J23" s="23" t="str">
        <x:v>all</x:v>
      </x:c>
      <x:c r="K23" s="43" t="n">
        <x:v>0.0281</x:v>
      </x:c>
      <x:c r="L23" s="37" t="n">
        <x:v>1</x:v>
      </x:c>
      <x:c r="M23" s="37" t="n">
        <x:v>0.028</x:v>
      </x:c>
      <x:c r="N23" s="37" t="n">
        <x:v>0.028</x:v>
      </x:c>
    </x:row>
    <x:row r="24">
      <x:c r="A24" s="25" t="str">
        <x:v>函館記念 洋芝適性</x:v>
      </x:c>
      <x:c r="B24" s="23" t="str">
        <x:v>race_entity</x:v>
      </x:c>
      <x:c r="C24" s="23" t="str">
        <x:v>jra</x:v>
      </x:c>
      <x:c r="D24" s="23" t="str">
        <x:v>evergreen</x:v>
      </x:c>
      <x:c r="E24" s="23" t="str">
        <x:v>11-15</x:v>
      </x:c>
      <x:c r="F24" s="27" t="n">
        <x:v>0</x:v>
      </x:c>
      <x:c r="G24" s="27" t="n">
        <x:v>1</x:v>
      </x:c>
      <x:c r="H24" s="43" t="n">
        <x:v>0</x:v>
      </x:c>
      <x:c r="I24" s="37" t="n">
        <x:v>12</x:v>
      </x:c>
      <x:c r="J24" s="23" t="str">
        <x:v>all</x:v>
      </x:c>
      <x:c r="K24" s="43" t="n">
        <x:v>0.0281</x:v>
      </x:c>
      <x:c r="L24" s="37" t="n">
        <x:v>1</x:v>
      </x:c>
      <x:c r="M24" s="37" t="n">
        <x:v>0.028</x:v>
      </x:c>
      <x:c r="N24" s="37" t="n">
        <x:v>0.028</x:v>
      </x:c>
    </x:row>
    <x:row r="25">
      <x:c r="A25" s="25" t="str">
        <x:v>小倉記念 2026 傾向</x:v>
      </x:c>
      <x:c r="B25" s="23" t="str">
        <x:v>race_entity</x:v>
      </x:c>
      <x:c r="C25" s="23" t="str">
        <x:v>jra</x:v>
      </x:c>
      <x:c r="D25" s="23" t="str">
        <x:v>evergreen</x:v>
      </x:c>
      <x:c r="E25" s="23" t="str">
        <x:v>11-15</x:v>
      </x:c>
      <x:c r="F25" s="27" t="n">
        <x:v>0</x:v>
      </x:c>
      <x:c r="G25" s="27" t="n">
        <x:v>1</x:v>
      </x:c>
      <x:c r="H25" s="43" t="n">
        <x:v>0</x:v>
      </x:c>
      <x:c r="I25" s="37" t="n">
        <x:v>15</x:v>
      </x:c>
      <x:c r="J25" s="23" t="str">
        <x:v>all</x:v>
      </x:c>
      <x:c r="K25" s="43" t="n">
        <x:v>0.0281</x:v>
      </x:c>
      <x:c r="L25" s="37" t="n">
        <x:v>1</x:v>
      </x:c>
      <x:c r="M25" s="37" t="n">
        <x:v>0.028</x:v>
      </x:c>
      <x:c r="N25" s="37" t="n">
        <x:v>0.028</x:v>
      </x:c>
    </x:row>
    <x:row r="26">
      <x:c r="A26" s="25" t="str">
        <x:v>稍重</x:v>
      </x:c>
      <x:c r="B26" s="23" t="str">
        <x:v>evergreen_research</x:v>
      </x:c>
      <x:c r="C26" s="23" t="str">
        <x:v>unknown</x:v>
      </x:c>
      <x:c r="D26" s="23" t="str">
        <x:v>evergreen</x:v>
      </x:c>
      <x:c r="E26" s="23" t="str">
        <x:v>4-6</x:v>
      </x:c>
      <x:c r="F26" s="27" t="n">
        <x:v>2</x:v>
      </x:c>
      <x:c r="G26" s="27" t="n">
        <x:v>1031</x:v>
      </x:c>
      <x:c r="H26" s="43" t="n">
        <x:v>0.0019</x:v>
      </x:c>
      <x:c r="I26" s="37" t="n">
        <x:v>6.88</x:v>
      </x:c>
      <x:c r="J26" s="23" t="str">
        <x:v>all</x:v>
      </x:c>
      <x:c r="K26" s="43" t="n">
        <x:v>0</x:v>
      </x:c>
      <x:c r="L26" s="37" t="n">
        <x:v>1</x:v>
      </x:c>
      <x:c r="M26" s="37" t="n">
        <x:v>0</x:v>
      </x:c>
      <x:c r="N26" s="37" t="n">
        <x:v>0</x:v>
      </x:c>
    </x:row>
    <x:row r="27">
      <x:c r="A27" s="25" t="str">
        <x:v>アイビスサマーダッシュ 2026</x:v>
      </x:c>
      <x:c r="B27" s="23" t="str">
        <x:v>race_entity</x:v>
      </x:c>
      <x:c r="C27" s="23" t="str">
        <x:v>unknown</x:v>
      </x:c>
      <x:c r="D27" s="23" t="str">
        <x:v>evergreen</x:v>
      </x:c>
      <x:c r="E27" s="23" t="str">
        <x:v>7-10</x:v>
      </x:c>
      <x:c r="F27" s="27" t="n">
        <x:v>16</x:v>
      </x:c>
      <x:c r="G27" s="27" t="n">
        <x:v>958</x:v>
      </x:c>
      <x:c r="H27" s="43" t="n">
        <x:v>0.0167</x:v>
      </x:c>
      <x:c r="I27" s="37" t="n">
        <x:v>9.83</x:v>
      </x:c>
      <x:c r="J27" s="23" t="str">
        <x:v>all</x:v>
      </x:c>
      <x:c r="K27" s="43" t="n">
        <x:v>0</x:v>
      </x:c>
      <x:c r="L27" s="37" t="n">
        <x:v>1</x:v>
      </x:c>
      <x:c r="M27" s="37" t="n">
        <x:v>0</x:v>
      </x:c>
      <x:c r="N27" s="37" t="n">
        <x:v>0</x:v>
      </x:c>
    </x:row>
    <x:row r="28">
      <x:c r="A28" s="25" t="str">
        <x:v>マーキュリーカップ 2026</x:v>
      </x:c>
      <x:c r="B28" s="23" t="str">
        <x:v>race_entity</x:v>
      </x:c>
      <x:c r="C28" s="23" t="str">
        <x:v>unknown</x:v>
      </x:c>
      <x:c r="D28" s="23" t="str">
        <x:v>evergreen</x:v>
      </x:c>
      <x:c r="E28" s="23" t="str">
        <x:v>11-15</x:v>
      </x:c>
      <x:c r="F28" s="27" t="n">
        <x:v>22</x:v>
      </x:c>
      <x:c r="G28" s="27" t="n">
        <x:v>594</x:v>
      </x:c>
      <x:c r="H28" s="43" t="n">
        <x:v>0.037000000000000005</x:v>
      </x:c>
      <x:c r="I28" s="37" t="n">
        <x:v>11.24</x:v>
      </x:c>
      <x:c r="J28" s="23" t="str">
        <x:v>all</x:v>
      </x:c>
      <x:c r="K28" s="43" t="n">
        <x:v>0.0281</x:v>
      </x:c>
      <x:c r="L28" s="37" t="n">
        <x:v>1</x:v>
      </x:c>
      <x:c r="M28" s="37" t="n">
        <x:v>0</x:v>
      </x:c>
      <x:c r="N28" s="37" t="n">
        <x:v>0</x:v>
      </x:c>
    </x:row>
    <x:row r="29">
      <x:c r="A29" s="25" t="str">
        <x:v>マーキュリー カップ 2026 出走 予定</x:v>
      </x:c>
      <x:c r="B29" s="23" t="str">
        <x:v>race_entity</x:v>
      </x:c>
      <x:c r="C29" s="23" t="str">
        <x:v>unknown</x:v>
      </x:c>
      <x:c r="D29" s="23" t="str">
        <x:v>evergreen</x:v>
      </x:c>
      <x:c r="E29" s="23" t="str">
        <x:v>4-6</x:v>
      </x:c>
      <x:c r="F29" s="27" t="n">
        <x:v>34</x:v>
      </x:c>
      <x:c r="G29" s="27" t="n">
        <x:v>487</x:v>
      </x:c>
      <x:c r="H29" s="43" t="n">
        <x:v>0.0698</x:v>
      </x:c>
      <x:c r="I29" s="37" t="n">
        <x:v>6.26</x:v>
      </x:c>
      <x:c r="J29" s="23" t="str">
        <x:v>all</x:v>
      </x:c>
      <x:c r="K29" s="43" t="n">
        <x:v>0</x:v>
      </x:c>
      <x:c r="L29" s="37" t="n">
        <x:v>1</x:v>
      </x:c>
      <x:c r="M29" s="37" t="n">
        <x:v>0</x:v>
      </x:c>
      <x:c r="N29" s="37" t="n">
        <x:v>0</x:v>
      </x:c>
    </x:row>
    <x:row r="30">
      <x:c r="A30" s="25" t="str">
        <x:v>稍重とは</x:v>
      </x:c>
      <x:c r="B30" s="23" t="str">
        <x:v>evergreen_research</x:v>
      </x:c>
      <x:c r="C30" s="23" t="str">
        <x:v>unknown</x:v>
      </x:c>
      <x:c r="D30" s="23" t="str">
        <x:v>evergreen</x:v>
      </x:c>
      <x:c r="E30" s="23" t="str">
        <x:v>4-6</x:v>
      </x:c>
      <x:c r="F30" s="27" t="n">
        <x:v>0</x:v>
      </x:c>
      <x:c r="G30" s="27" t="n">
        <x:v>341</x:v>
      </x:c>
      <x:c r="H30" s="43" t="n">
        <x:v>0</x:v>
      </x:c>
      <x:c r="I30" s="37" t="n">
        <x:v>6.47</x:v>
      </x:c>
      <x:c r="J30" s="23" t="str">
        <x:v>all</x:v>
      </x:c>
      <x:c r="K30" s="43" t="n">
        <x:v>0</x:v>
      </x:c>
      <x:c r="L30" s="37" t="n">
        <x:v>1</x:v>
      </x:c>
      <x:c r="M30" s="37" t="n">
        <x:v>0</x:v>
      </x:c>
      <x:c r="N30" s="37" t="n">
        <x:v>0</x:v>
      </x:c>
    </x:row>
    <x:row r="31">
      <x:c r="A31" s="25" t="str">
        <x:v>ぎふ清流カップ 2026</x:v>
      </x:c>
      <x:c r="B31" s="23" t="str">
        <x:v>race_entity</x:v>
      </x:c>
      <x:c r="C31" s="23" t="str">
        <x:v>unknown</x:v>
      </x:c>
      <x:c r="D31" s="23" t="str">
        <x:v>evergreen</x:v>
      </x:c>
      <x:c r="E31" s="23" t="str">
        <x:v>7-10</x:v>
      </x:c>
      <x:c r="F31" s="27" t="n">
        <x:v>21</x:v>
      </x:c>
      <x:c r="G31" s="27" t="n">
        <x:v>323</x:v>
      </x:c>
      <x:c r="H31" s="43" t="n">
        <x:v>0.065</x:v>
      </x:c>
      <x:c r="I31" s="37" t="n">
        <x:v>8.4</x:v>
      </x:c>
      <x:c r="J31" s="23" t="str">
        <x:v>all</x:v>
      </x:c>
      <x:c r="K31" s="43" t="n">
        <x:v>0</x:v>
      </x:c>
      <x:c r="L31" s="37" t="n">
        <x:v>1</x:v>
      </x:c>
      <x:c r="M31" s="37" t="n">
        <x:v>0</x:v>
      </x:c>
      <x:c r="N31" s="37" t="n">
        <x:v>0</x:v>
      </x:c>
    </x:row>
    <x:row r="32">
      <x:c r="A32" s="25" t="str">
        <x:v>マーキュリーカップ 傾向</x:v>
      </x:c>
      <x:c r="B32" s="23" t="str">
        <x:v>evergreen_research</x:v>
      </x:c>
      <x:c r="C32" s="23" t="str">
        <x:v>unknown</x:v>
      </x:c>
      <x:c r="D32" s="23" t="str">
        <x:v>evergreen</x:v>
      </x:c>
      <x:c r="E32" s="23" t="str">
        <x:v>7-10</x:v>
      </x:c>
      <x:c r="F32" s="27" t="n">
        <x:v>14</x:v>
      </x:c>
      <x:c r="G32" s="27" t="n">
        <x:v>216</x:v>
      </x:c>
      <x:c r="H32" s="43" t="n">
        <x:v>0.06480000000000001</x:v>
      </x:c>
      <x:c r="I32" s="37" t="n">
        <x:v>8.3</x:v>
      </x:c>
      <x:c r="J32" s="23" t="str">
        <x:v>all</x:v>
      </x:c>
      <x:c r="K32" s="43" t="n">
        <x:v>0</x:v>
      </x:c>
      <x:c r="L32" s="37" t="n">
        <x:v>1</x:v>
      </x:c>
      <x:c r="M32" s="37" t="n">
        <x:v>0</x:v>
      </x:c>
      <x:c r="N32" s="37" t="n">
        <x:v>0</x:v>
      </x:c>
    </x:row>
    <x:row r="33">
      <x:c r="A33" s="25" t="str">
        <x:v>重馬場とは</x:v>
      </x:c>
      <x:c r="B33" s="23" t="str">
        <x:v>evergreen_research</x:v>
      </x:c>
      <x:c r="C33" s="23" t="str">
        <x:v>unknown</x:v>
      </x:c>
      <x:c r="D33" s="23" t="str">
        <x:v>race_day</x:v>
      </x:c>
      <x:c r="E33" s="23" t="str">
        <x:v>11-15</x:v>
      </x:c>
      <x:c r="F33" s="27" t="n">
        <x:v>0</x:v>
      </x:c>
      <x:c r="G33" s="27" t="n">
        <x:v>212</x:v>
      </x:c>
      <x:c r="H33" s="43" t="n">
        <x:v>0</x:v>
      </x:c>
      <x:c r="I33" s="37" t="n">
        <x:v>10.52</x:v>
      </x:c>
      <x:c r="J33" s="23" t="str">
        <x:v>all</x:v>
      </x:c>
      <x:c r="K33" s="43" t="n">
        <x:v>0</x:v>
      </x:c>
      <x:c r="L33" s="37" t="n">
        <x:v>1</x:v>
      </x:c>
      <x:c r="M33" s="37" t="n">
        <x:v>0</x:v>
      </x:c>
      <x:c r="N33" s="37" t="n">
        <x:v>0</x:v>
      </x:c>
    </x:row>
    <x:row r="34">
      <x:c r="A34" s="25" t="str">
        <x:v>アイビスサマーダッシュ 2026 出走予定</x:v>
      </x:c>
      <x:c r="B34" s="23" t="str">
        <x:v>race_preparation</x:v>
      </x:c>
      <x:c r="C34" s="23" t="str">
        <x:v>unknown</x:v>
      </x:c>
      <x:c r="D34" s="23" t="str">
        <x:v>field_building</x:v>
      </x:c>
      <x:c r="E34" s="23" t="str">
        <x:v>4-6</x:v>
      </x:c>
      <x:c r="F34" s="27" t="n">
        <x:v>5</x:v>
      </x:c>
      <x:c r="G34" s="27" t="n">
        <x:v>209</x:v>
      </x:c>
      <x:c r="H34" s="43" t="n">
        <x:v>0.0239</x:v>
      </x:c>
      <x:c r="I34" s="37" t="n">
        <x:v>6.59</x:v>
      </x:c>
      <x:c r="J34" s="23" t="str">
        <x:v>all</x:v>
      </x:c>
      <x:c r="K34" s="43" t="n">
        <x:v>0</x:v>
      </x:c>
      <x:c r="L34" s="37" t="n">
        <x:v>1</x:v>
      </x:c>
      <x:c r="M34" s="37" t="n">
        <x:v>0</x:v>
      </x:c>
      <x:c r="N34" s="37" t="n">
        <x:v>0</x:v>
      </x:c>
    </x:row>
    <x:row r="35">
      <x:c r="A35" s="25" t="str">
        <x:v>星雲賞 2026 予想</x:v>
      </x:c>
      <x:c r="B35" s="23" t="str">
        <x:v>prediction</x:v>
      </x:c>
      <x:c r="C35" s="23" t="str">
        <x:v>unknown</x:v>
      </x:c>
      <x:c r="D35" s="23" t="str">
        <x:v>final_48h</x:v>
      </x:c>
      <x:c r="E35" s="23" t="str">
        <x:v>4-6</x:v>
      </x:c>
      <x:c r="F35" s="27" t="n">
        <x:v>20</x:v>
      </x:c>
      <x:c r="G35" s="27" t="n">
        <x:v>185</x:v>
      </x:c>
      <x:c r="H35" s="43" t="n">
        <x:v>0.1081</x:v>
      </x:c>
      <x:c r="I35" s="37" t="n">
        <x:v>5.99</x:v>
      </x:c>
      <x:c r="J35" s="23" t="str">
        <x:v>all</x:v>
      </x:c>
      <x:c r="K35" s="43" t="n">
        <x:v>0</x:v>
      </x:c>
      <x:c r="L35" s="37" t="n">
        <x:v>1</x:v>
      </x:c>
      <x:c r="M35" s="37" t="n">
        <x:v>0</x:v>
      </x:c>
      <x:c r="N35" s="37" t="n">
        <x:v>0</x:v>
      </x:c>
    </x:row>
    <x:row r="36">
      <x:c r="A36" s="25" t="str">
        <x:v>マーキュリー カップ 2026 想定</x:v>
      </x:c>
      <x:c r="B36" s="23" t="str">
        <x:v>race_preparation</x:v>
      </x:c>
      <x:c r="C36" s="23" t="str">
        <x:v>unknown</x:v>
      </x:c>
      <x:c r="D36" s="23" t="str">
        <x:v>field_building</x:v>
      </x:c>
      <x:c r="E36" s="23" t="str">
        <x:v>7-10</x:v>
      </x:c>
      <x:c r="F36" s="27" t="n">
        <x:v>9</x:v>
      </x:c>
      <x:c r="G36" s="27" t="n">
        <x:v>136</x:v>
      </x:c>
      <x:c r="H36" s="43" t="n">
        <x:v>0.0662</x:v>
      </x:c>
      <x:c r="I36" s="37" t="n">
        <x:v>7.9</x:v>
      </x:c>
      <x:c r="J36" s="23" t="str">
        <x:v>all</x:v>
      </x:c>
      <x:c r="K36" s="43" t="n">
        <x:v>0</x:v>
      </x:c>
      <x:c r="L36" s="37" t="n">
        <x:v>1</x:v>
      </x:c>
      <x:c r="M36" s="37" t="n">
        <x:v>0</x:v>
      </x:c>
      <x:c r="N36" s="37" t="n">
        <x:v>0</x:v>
      </x:c>
    </x:row>
    <x:row r="37">
      <x:c r="A37" s="25" t="str">
        <x:v>ノースクイーンカップ 2026 予想</x:v>
      </x:c>
      <x:c r="B37" s="23" t="str">
        <x:v>prediction</x:v>
      </x:c>
      <x:c r="C37" s="23" t="str">
        <x:v>unknown</x:v>
      </x:c>
      <x:c r="D37" s="23" t="str">
        <x:v>final_48h</x:v>
      </x:c>
      <x:c r="E37" s="23" t="str">
        <x:v>11-15</x:v>
      </x:c>
      <x:c r="F37" s="27" t="n">
        <x:v>14</x:v>
      </x:c>
      <x:c r="G37" s="27" t="n">
        <x:v>133</x:v>
      </x:c>
      <x:c r="H37" s="43" t="n">
        <x:v>0.10529999999999999</x:v>
      </x:c>
      <x:c r="I37" s="37" t="n">
        <x:v>11.2</x:v>
      </x:c>
      <x:c r="J37" s="23" t="str">
        <x:v>all</x:v>
      </x:c>
      <x:c r="K37" s="43" t="n">
        <x:v>0</x:v>
      </x:c>
      <x:c r="L37" s="37" t="n">
        <x:v>1</x:v>
      </x:c>
      <x:c r="M37" s="37" t="n">
        <x:v>0</x:v>
      </x:c>
      <x:c r="N37" s="37" t="n">
        <x:v>0</x:v>
      </x:c>
    </x:row>
    <x:row r="38">
      <x:c r="A38" s="25" t="str">
        <x:v>競馬データ分析 無料</x:v>
      </x:c>
      <x:c r="B38" s="23" t="str">
        <x:v>evergreen_research</x:v>
      </x:c>
      <x:c r="C38" s="23" t="str">
        <x:v>unknown</x:v>
      </x:c>
      <x:c r="D38" s="23" t="str">
        <x:v>evergreen</x:v>
      </x:c>
      <x:c r="E38" s="23" t="str">
        <x:v>4-6</x:v>
      </x:c>
      <x:c r="F38" s="27" t="n">
        <x:v>7</x:v>
      </x:c>
      <x:c r="G38" s="27" t="n">
        <x:v>133</x:v>
      </x:c>
      <x:c r="H38" s="43" t="n">
        <x:v>0.0526</x:v>
      </x:c>
      <x:c r="I38" s="37" t="n">
        <x:v>4.09</x:v>
      </x:c>
      <x:c r="J38" s="23" t="str">
        <x:v>all</x:v>
      </x:c>
      <x:c r="K38" s="43" t="n">
        <x:v>0</x:v>
      </x:c>
      <x:c r="L38" s="37" t="n">
        <x:v>1</x:v>
      </x:c>
      <x:c r="M38" s="37" t="n">
        <x:v>0</x:v>
      </x:c>
      <x:c r="N38" s="37" t="n">
        <x:v>0</x:v>
      </x:c>
    </x:row>
    <x:row r="39">
      <x:c r="A39" s="25" t="str">
        <x:v>不良馬場</x:v>
      </x:c>
      <x:c r="B39" s="23" t="str">
        <x:v>evergreen_research</x:v>
      </x:c>
      <x:c r="C39" s="23" t="str">
        <x:v>unknown</x:v>
      </x:c>
      <x:c r="D39" s="23" t="str">
        <x:v>race_day</x:v>
      </x:c>
      <x:c r="E39" s="23" t="str">
        <x:v>7-10</x:v>
      </x:c>
      <x:c r="F39" s="27" t="n">
        <x:v>1</x:v>
      </x:c>
      <x:c r="G39" s="27" t="n">
        <x:v>131</x:v>
      </x:c>
      <x:c r="H39" s="43" t="n">
        <x:v>0.0076</x:v>
      </x:c>
      <x:c r="I39" s="37" t="n">
        <x:v>9.74</x:v>
      </x:c>
      <x:c r="J39" s="23" t="str">
        <x:v>all</x:v>
      </x:c>
      <x:c r="K39" s="43" t="n">
        <x:v>0</x:v>
      </x:c>
      <x:c r="L39" s="37" t="n">
        <x:v>1</x:v>
      </x:c>
      <x:c r="M39" s="37" t="n">
        <x:v>0</x:v>
      </x:c>
      <x:c r="N39" s="37" t="n">
        <x:v>0</x:v>
      </x:c>
    </x:row>
    <x:row r="40">
      <x:c r="A40" s="25" t="str">
        <x:v>旭岳賞 2026 予想</x:v>
      </x:c>
      <x:c r="B40" s="23" t="str">
        <x:v>prediction</x:v>
      </x:c>
      <x:c r="C40" s="23" t="str">
        <x:v>unknown</x:v>
      </x:c>
      <x:c r="D40" s="23" t="str">
        <x:v>final_48h</x:v>
      </x:c>
      <x:c r="E40" s="23" t="str">
        <x:v>4-6</x:v>
      </x:c>
      <x:c r="F40" s="27" t="n">
        <x:v>23</x:v>
      </x:c>
      <x:c r="G40" s="27" t="n">
        <x:v>109</x:v>
      </x:c>
      <x:c r="H40" s="43" t="n">
        <x:v>0.21100000000000002</x:v>
      </x:c>
      <x:c r="I40" s="37" t="n">
        <x:v>4.85</x:v>
      </x:c>
      <x:c r="J40" s="23" t="str">
        <x:v>all</x:v>
      </x:c>
      <x:c r="K40" s="43" t="n">
        <x:v>0</x:v>
      </x:c>
      <x:c r="L40" s="37" t="n">
        <x:v>1</x:v>
      </x:c>
      <x:c r="M40" s="37" t="n">
        <x:v>0</x:v>
      </x:c>
      <x:c r="N40" s="37" t="n">
        <x:v>0</x:v>
      </x:c>
    </x:row>
    <x:row r="41">
      <x:c r="A41" s="25" t="str">
        <x:v>いしがきマイラーズ 2026</x:v>
      </x:c>
      <x:c r="B41" s="23" t="str">
        <x:v>evergreen_research</x:v>
      </x:c>
      <x:c r="C41" s="23" t="str">
        <x:v>unknown</x:v>
      </x:c>
      <x:c r="D41" s="23" t="str">
        <x:v>evergreen</x:v>
      </x:c>
      <x:c r="E41" s="23" t="str">
        <x:v>7-10</x:v>
      </x:c>
      <x:c r="F41" s="27" t="n">
        <x:v>8</x:v>
      </x:c>
      <x:c r="G41" s="27" t="n">
        <x:v>100</x:v>
      </x:c>
      <x:c r="H41" s="43" t="n">
        <x:v>0.08</x:v>
      </x:c>
      <x:c r="I41" s="37" t="n">
        <x:v>8.41</x:v>
      </x:c>
      <x:c r="J41" s="23" t="str">
        <x:v>all</x:v>
      </x:c>
      <x:c r="K41" s="43" t="n">
        <x:v>0</x:v>
      </x:c>
      <x:c r="L41" s="37" t="n">
        <x:v>1</x:v>
      </x:c>
      <x:c r="M41" s="37" t="n">
        <x:v>0</x:v>
      </x:c>
      <x:c r="N41" s="37" t="n">
        <x:v>0</x:v>
      </x:c>
    </x:row>
    <x:row r="42">
      <x:c r="A42" s="25" t="str">
        <x:v>重馬場 脚質</x:v>
      </x:c>
      <x:c r="B42" s="23" t="str">
        <x:v>evergreen_research</x:v>
      </x:c>
      <x:c r="C42" s="23" t="str">
        <x:v>unknown</x:v>
      </x:c>
      <x:c r="D42" s="23" t="str">
        <x:v>race_day</x:v>
      </x:c>
      <x:c r="E42" s="23" t="str">
        <x:v>4-6</x:v>
      </x:c>
      <x:c r="F42" s="27" t="n">
        <x:v>0</x:v>
      </x:c>
      <x:c r="G42" s="27" t="n">
        <x:v>94</x:v>
      </x:c>
      <x:c r="H42" s="43" t="n">
        <x:v>0</x:v>
      </x:c>
      <x:c r="I42" s="37" t="n">
        <x:v>6.67</x:v>
      </x:c>
      <x:c r="J42" s="23" t="str">
        <x:v>all</x:v>
      </x:c>
      <x:c r="K42" s="43" t="n">
        <x:v>0</x:v>
      </x:c>
      <x:c r="L42" s="37" t="n">
        <x:v>1</x:v>
      </x:c>
      <x:c r="M42" s="37" t="n">
        <x:v>0</x:v>
      </x:c>
      <x:c r="N42" s="37" t="n">
        <x:v>0</x:v>
      </x:c>
    </x:row>
    <x:row r="43">
      <x:c r="A43" s="25" t="str">
        <x:v>重い馬場とは</x:v>
      </x:c>
      <x:c r="B43" s="23" t="str">
        <x:v>evergreen_research</x:v>
      </x:c>
      <x:c r="C43" s="23" t="str">
        <x:v>unknown</x:v>
      </x:c>
      <x:c r="D43" s="23" t="str">
        <x:v>race_day</x:v>
      </x:c>
      <x:c r="E43" s="23" t="str">
        <x:v>7-10</x:v>
      </x:c>
      <x:c r="F43" s="27" t="n">
        <x:v>0</x:v>
      </x:c>
      <x:c r="G43" s="27" t="n">
        <x:v>92</x:v>
      </x:c>
      <x:c r="H43" s="43" t="n">
        <x:v>0</x:v>
      </x:c>
      <x:c r="I43" s="37" t="n">
        <x:v>8.6</x:v>
      </x:c>
      <x:c r="J43" s="23" t="str">
        <x:v>all</x:v>
      </x:c>
      <x:c r="K43" s="43" t="n">
        <x:v>0</x:v>
      </x:c>
      <x:c r="L43" s="37" t="n">
        <x:v>1</x:v>
      </x:c>
      <x:c r="M43" s="37" t="n">
        <x:v>0</x:v>
      </x:c>
      <x:c r="N43" s="37" t="n">
        <x:v>0</x:v>
      </x:c>
    </x:row>
    <x:row r="44">
      <x:c r="A44" s="25" t="str">
        <x:v>七夕賞 2026 出走予定</x:v>
      </x:c>
      <x:c r="B44" s="23" t="str">
        <x:v>race_preparation</x:v>
      </x:c>
      <x:c r="C44" s="23" t="str">
        <x:v>unknown</x:v>
      </x:c>
      <x:c r="D44" s="23" t="str">
        <x:v>field_building</x:v>
      </x:c>
      <x:c r="E44" s="23" t="str">
        <x:v>11-15</x:v>
      </x:c>
      <x:c r="F44" s="27" t="n">
        <x:v>1</x:v>
      </x:c>
      <x:c r="G44" s="27" t="n">
        <x:v>83</x:v>
      </x:c>
      <x:c r="H44" s="43" t="n">
        <x:v>0.012</x:v>
      </x:c>
      <x:c r="I44" s="37" t="n">
        <x:v>10.89</x:v>
      </x:c>
      <x:c r="J44" s="23" t="str">
        <x:v>all</x:v>
      </x:c>
      <x:c r="K44" s="43" t="n">
        <x:v>0</x:v>
      </x:c>
      <x:c r="L44" s="37" t="n">
        <x:v>1</x:v>
      </x:c>
      <x:c r="M44" s="37" t="n">
        <x:v>0</x:v>
      </x:c>
      <x:c r="N44" s="37" t="n">
        <x:v>0</x:v>
      </x:c>
    </x:row>
    <x:row r="45">
      <x:c r="A45" s="25" t="str">
        <x:v>マーキュリーカップ 2026 予想</x:v>
      </x:c>
      <x:c r="B45" s="23" t="str">
        <x:v>prediction</x:v>
      </x:c>
      <x:c r="C45" s="23" t="str">
        <x:v>unknown</x:v>
      </x:c>
      <x:c r="D45" s="23" t="str">
        <x:v>final_48h</x:v>
      </x:c>
      <x:c r="E45" s="23" t="str">
        <x:v>21+</x:v>
      </x:c>
      <x:c r="F45" s="27" t="n">
        <x:v>5</x:v>
      </x:c>
      <x:c r="G45" s="27" t="n">
        <x:v>82</x:v>
      </x:c>
      <x:c r="H45" s="43" t="n">
        <x:v>0.061</x:v>
      </x:c>
      <x:c r="I45" s="37" t="n">
        <x:v>28.26</x:v>
      </x:c>
      <x:c r="J45" s="23" t="str">
        <x:v>all</x:v>
      </x:c>
      <x:c r="K45" s="43" t="n">
        <x:v>0</x:v>
      </x:c>
      <x:c r="L45" s="37" t="n">
        <x:v>1</x:v>
      </x:c>
      <x:c r="M45" s="37" t="n">
        <x:v>0</x:v>
      </x:c>
      <x:c r="N45" s="37" t="n">
        <x:v>0</x:v>
      </x:c>
    </x:row>
    <x:row r="46">
      <x:c r="A46" s="25" t="str">
        <x:v>ぎふ 清流 カップ 2026</x:v>
      </x:c>
      <x:c r="B46" s="23" t="str">
        <x:v>race_entity</x:v>
      </x:c>
      <x:c r="C46" s="23" t="str">
        <x:v>unknown</x:v>
      </x:c>
      <x:c r="D46" s="23" t="str">
        <x:v>evergreen</x:v>
      </x:c>
      <x:c r="E46" s="23" t="str">
        <x:v>7-10</x:v>
      </x:c>
      <x:c r="F46" s="27" t="n">
        <x:v>7</x:v>
      </x:c>
      <x:c r="G46" s="27" t="n">
        <x:v>81</x:v>
      </x:c>
      <x:c r="H46" s="43" t="n">
        <x:v>0.0864</x:v>
      </x:c>
      <x:c r="I46" s="37" t="n">
        <x:v>8.63</x:v>
      </x:c>
      <x:c r="J46" s="23" t="str">
        <x:v>all</x:v>
      </x:c>
      <x:c r="K46" s="43" t="n">
        <x:v>0</x:v>
      </x:c>
      <x:c r="L46" s="37" t="n">
        <x:v>1</x:v>
      </x:c>
      <x:c r="M46" s="37" t="n">
        <x:v>0</x:v>
      </x:c>
      <x:c r="N46" s="37" t="n">
        <x:v>0</x:v>
      </x:c>
    </x:row>
    <x:row r="47">
      <x:c r="A47" s="25" t="str">
        <x:v>妙味 競馬 意味</x:v>
      </x:c>
      <x:c r="B47" s="23" t="str">
        <x:v>evergreen_research</x:v>
      </x:c>
      <x:c r="C47" s="23" t="str">
        <x:v>unknown</x:v>
      </x:c>
      <x:c r="D47" s="23" t="str">
        <x:v>evergreen</x:v>
      </x:c>
      <x:c r="E47" s="23" t="str">
        <x:v>4-6</x:v>
      </x:c>
      <x:c r="F47" s="27" t="n">
        <x:v>0</x:v>
      </x:c>
      <x:c r="G47" s="27" t="n">
        <x:v>79</x:v>
      </x:c>
      <x:c r="H47" s="43" t="n">
        <x:v>0</x:v>
      </x:c>
      <x:c r="I47" s="37" t="n">
        <x:v>4.52</x:v>
      </x:c>
      <x:c r="J47" s="23" t="str">
        <x:v>all</x:v>
      </x:c>
      <x:c r="K47" s="43" t="n">
        <x:v>0</x:v>
      </x:c>
      <x:c r="L47" s="37" t="n">
        <x:v>1</x:v>
      </x:c>
      <x:c r="M47" s="37" t="n">
        <x:v>0</x:v>
      </x:c>
      <x:c r="N47" s="37" t="n">
        <x:v>0</x:v>
      </x:c>
    </x:row>
    <x:row r="48">
      <x:c r="A48" s="25" t="str">
        <x:v>兵庫サマークイーン賞 2026 予想</x:v>
      </x:c>
      <x:c r="B48" s="23" t="str">
        <x:v>prediction</x:v>
      </x:c>
      <x:c r="C48" s="23" t="str">
        <x:v>unknown</x:v>
      </x:c>
      <x:c r="D48" s="23" t="str">
        <x:v>final_48h</x:v>
      </x:c>
      <x:c r="E48" s="23" t="str">
        <x:v>4-6</x:v>
      </x:c>
      <x:c r="F48" s="27" t="n">
        <x:v>14</x:v>
      </x:c>
      <x:c r="G48" s="27" t="n">
        <x:v>68</x:v>
      </x:c>
      <x:c r="H48" s="43" t="n">
        <x:v>0.2059</x:v>
      </x:c>
      <x:c r="I48" s="37" t="n">
        <x:v>6.49</x:v>
      </x:c>
      <x:c r="J48" s="23" t="str">
        <x:v>all</x:v>
      </x:c>
      <x:c r="K48" s="43" t="n">
        <x:v>0</x:v>
      </x:c>
      <x:c r="L48" s="37" t="n">
        <x:v>1</x:v>
      </x:c>
      <x:c r="M48" s="37" t="n">
        <x:v>0</x:v>
      </x:c>
      <x:c r="N48" s="37" t="n">
        <x:v>0</x:v>
      </x:c>
    </x:row>
    <x:row r="49">
      <x:c r="A49" s="25" t="str">
        <x:v>兵庫サマークイーン賞 2026</x:v>
      </x:c>
      <x:c r="B49" s="23" t="str">
        <x:v>race_entity</x:v>
      </x:c>
      <x:c r="C49" s="23" t="str">
        <x:v>unknown</x:v>
      </x:c>
      <x:c r="D49" s="23" t="str">
        <x:v>evergreen</x:v>
      </x:c>
      <x:c r="E49" s="23" t="str">
        <x:v>7-10</x:v>
      </x:c>
      <x:c r="F49" s="27" t="n">
        <x:v>2</x:v>
      </x:c>
      <x:c r="G49" s="27" t="n">
        <x:v>64</x:v>
      </x:c>
      <x:c r="H49" s="43" t="n">
        <x:v>0.031200000000000002</x:v>
      </x:c>
      <x:c r="I49" s="37" t="n">
        <x:v>8.7</x:v>
      </x:c>
      <x:c r="J49" s="23" t="str">
        <x:v>all</x:v>
      </x:c>
      <x:c r="K49" s="43" t="n">
        <x:v>0</x:v>
      </x:c>
      <x:c r="L49" s="37" t="n">
        <x:v>1</x:v>
      </x:c>
      <x:c r="M49" s="37" t="n">
        <x:v>0</x:v>
      </x:c>
      <x:c r="N49" s="37" t="n">
        <x:v>0</x:v>
      </x:c>
    </x:row>
    <x:row r="50">
      <x:c r="A50" s="25" t="str">
        <x:v>妙味とは</x:v>
      </x:c>
      <x:c r="B50" s="23" t="str">
        <x:v>evergreen_research</x:v>
      </x:c>
      <x:c r="C50" s="23" t="str">
        <x:v>unknown</x:v>
      </x:c>
      <x:c r="D50" s="23" t="str">
        <x:v>evergreen</x:v>
      </x:c>
      <x:c r="E50" s="23" t="str">
        <x:v>11-15</x:v>
      </x:c>
      <x:c r="F50" s="27" t="n">
        <x:v>0</x:v>
      </x:c>
      <x:c r="G50" s="27" t="n">
        <x:v>64</x:v>
      </x:c>
      <x:c r="H50" s="43" t="n">
        <x:v>0</x:v>
      </x:c>
      <x:c r="I50" s="37" t="n">
        <x:v>10.44</x:v>
      </x:c>
      <x:c r="J50" s="23" t="str">
        <x:v>all</x:v>
      </x:c>
      <x:c r="K50" s="43" t="n">
        <x:v>0</x:v>
      </x:c>
      <x:c r="L50" s="37" t="n">
        <x:v>1</x:v>
      </x:c>
      <x:c r="M50" s="37" t="n">
        <x:v>0</x:v>
      </x:c>
      <x:c r="N50" s="37" t="n">
        <x:v>0</x:v>
      </x:c>
    </x:row>
    <x:row r="51">
      <x:c r="A51" s="25" t="str">
        <x:v>トレノ賞過去</x:v>
      </x:c>
      <x:c r="B51" s="23" t="str">
        <x:v>evergreen_research</x:v>
      </x:c>
      <x:c r="C51" s="23" t="str">
        <x:v>unknown</x:v>
      </x:c>
      <x:c r="D51" s="23" t="str">
        <x:v>evergreen</x:v>
      </x:c>
      <x:c r="E51" s="23" t="str">
        <x:v>7-10</x:v>
      </x:c>
      <x:c r="F51" s="27" t="n">
        <x:v>1</x:v>
      </x:c>
      <x:c r="G51" s="27" t="n">
        <x:v>62</x:v>
      </x:c>
      <x:c r="H51" s="43" t="n">
        <x:v>0.0161</x:v>
      </x:c>
      <x:c r="I51" s="37" t="n">
        <x:v>9.94</x:v>
      </x:c>
      <x:c r="J51" s="23" t="str">
        <x:v>all</x:v>
      </x:c>
      <x:c r="K51" s="43" t="n">
        <x:v>0</x:v>
      </x:c>
      <x:c r="L51" s="37" t="n">
        <x:v>1</x:v>
      </x:c>
      <x:c r="M51" s="37" t="n">
        <x:v>0</x:v>
      </x:c>
      <x:c r="N51" s="37" t="n">
        <x:v>0</x:v>
      </x:c>
    </x:row>
    <x:row r="52">
      <x:c r="A52" s="25" t="str">
        <x:v>オパールカップ 2026 予想</x:v>
      </x:c>
      <x:c r="B52" s="23" t="str">
        <x:v>prediction</x:v>
      </x:c>
      <x:c r="C52" s="23" t="str">
        <x:v>unknown</x:v>
      </x:c>
      <x:c r="D52" s="23" t="str">
        <x:v>final_48h</x:v>
      </x:c>
      <x:c r="E52" s="23" t="str">
        <x:v>1-3</x:v>
      </x:c>
      <x:c r="F52" s="27" t="n">
        <x:v>18</x:v>
      </x:c>
      <x:c r="G52" s="27" t="n">
        <x:v>60</x:v>
      </x:c>
      <x:c r="H52" s="43" t="n">
        <x:v>0.3</x:v>
      </x:c>
      <x:c r="I52" s="37" t="n">
        <x:v>3.68</x:v>
      </x:c>
      <x:c r="J52" s="23" t="str">
        <x:v>all</x:v>
      </x:c>
      <x:c r="K52" s="43" t="n">
        <x:v>0</x:v>
      </x:c>
      <x:c r="L52" s="37" t="n">
        <x:v>1</x:v>
      </x:c>
      <x:c r="M52" s="37" t="n">
        <x:v>0</x:v>
      </x:c>
      <x:c r="N52" s="37" t="n">
        <x:v>0</x:v>
      </x:c>
    </x:row>
    <x:row r="53">
      <x:c r="A53" s="25" t="str">
        <x:v>佐賀ユーススプリント予想</x:v>
      </x:c>
      <x:c r="B53" s="23" t="str">
        <x:v>prediction</x:v>
      </x:c>
      <x:c r="C53" s="23" t="str">
        <x:v>nar</x:v>
      </x:c>
      <x:c r="D53" s="23" t="str">
        <x:v>final_48h</x:v>
      </x:c>
      <x:c r="E53" s="23" t="str">
        <x:v>7-10</x:v>
      </x:c>
      <x:c r="F53" s="27" t="n">
        <x:v>6</x:v>
      </x:c>
      <x:c r="G53" s="27" t="n">
        <x:v>59</x:v>
      </x:c>
      <x:c r="H53" s="43" t="n">
        <x:v>0.1017</x:v>
      </x:c>
      <x:c r="I53" s="37" t="n">
        <x:v>9.41</x:v>
      </x:c>
      <x:c r="J53" s="23" t="str">
        <x:v>all</x:v>
      </x:c>
      <x:c r="K53" s="43" t="n">
        <x:v>0</x:v>
      </x:c>
      <x:c r="L53" s="37" t="n">
        <x:v>1</x:v>
      </x:c>
      <x:c r="M53" s="37" t="n">
        <x:v>0</x:v>
      </x:c>
      <x:c r="N53" s="37" t="n">
        <x:v>0</x:v>
      </x:c>
    </x:row>
    <x:row r="54">
      <x:c r="A54" s="25" t="str">
        <x:v>サマーダッシュ 2026</x:v>
      </x:c>
      <x:c r="B54" s="23" t="str">
        <x:v>race_entity</x:v>
      </x:c>
      <x:c r="C54" s="23" t="str">
        <x:v>unknown</x:v>
      </x:c>
      <x:c r="D54" s="23" t="str">
        <x:v>evergreen</x:v>
      </x:c>
      <x:c r="E54" s="23" t="str">
        <x:v>7-10</x:v>
      </x:c>
      <x:c r="F54" s="27" t="n">
        <x:v>2</x:v>
      </x:c>
      <x:c r="G54" s="27" t="n">
        <x:v>56</x:v>
      </x:c>
      <x:c r="H54" s="43" t="n">
        <x:v>0.035699999999999996</x:v>
      </x:c>
      <x:c r="I54" s="37" t="n">
        <x:v>8.25</x:v>
      </x:c>
      <x:c r="J54" s="23" t="str">
        <x:v>all</x:v>
      </x:c>
      <x:c r="K54" s="43" t="n">
        <x:v>0</x:v>
      </x:c>
      <x:c r="L54" s="37" t="n">
        <x:v>1</x:v>
      </x:c>
      <x:c r="M54" s="37" t="n">
        <x:v>0</x:v>
      </x:c>
      <x:c r="N54" s="37" t="n">
        <x:v>0</x:v>
      </x:c>
    </x:row>
    <x:row r="55">
      <x:c r="A55" s="25" t="str">
        <x:v>競馬 データ</x:v>
      </x:c>
      <x:c r="B55" s="23" t="str">
        <x:v>evergreen_research</x:v>
      </x:c>
      <x:c r="C55" s="23" t="str">
        <x:v>unknown</x:v>
      </x:c>
      <x:c r="D55" s="23" t="str">
        <x:v>evergreen</x:v>
      </x:c>
      <x:c r="E55" s="23" t="str">
        <x:v>21+</x:v>
      </x:c>
      <x:c r="F55" s="27" t="n">
        <x:v>1</x:v>
      </x:c>
      <x:c r="G55" s="27" t="n">
        <x:v>56</x:v>
      </x:c>
      <x:c r="H55" s="43" t="n">
        <x:v>0.0179</x:v>
      </x:c>
      <x:c r="I55" s="37" t="n">
        <x:v>27.89</x:v>
      </x:c>
      <x:c r="J55" s="23" t="str">
        <x:v>all</x:v>
      </x:c>
      <x:c r="K55" s="43" t="n">
        <x:v>0</x:v>
      </x:c>
      <x:c r="L55" s="37" t="n">
        <x:v>1</x:v>
      </x:c>
      <x:c r="M55" s="37" t="n">
        <x:v>0</x:v>
      </x:c>
      <x:c r="N55" s="37" t="n">
        <x:v>0</x:v>
      </x:c>
    </x:row>
    <x:row r="56">
      <x:c r="A56" s="25" t="str">
        <x:v>札幌 洋芝</x:v>
      </x:c>
      <x:c r="B56" s="23" t="str">
        <x:v>evergreen_research</x:v>
      </x:c>
      <x:c r="C56" s="23" t="str">
        <x:v>jra</x:v>
      </x:c>
      <x:c r="D56" s="23" t="str">
        <x:v>evergreen</x:v>
      </x:c>
      <x:c r="E56" s="23" t="str">
        <x:v>4-6</x:v>
      </x:c>
      <x:c r="F56" s="27" t="n">
        <x:v>0</x:v>
      </x:c>
      <x:c r="G56" s="27" t="n">
        <x:v>54</x:v>
      </x:c>
      <x:c r="H56" s="43" t="n">
        <x:v>0</x:v>
      </x:c>
      <x:c r="I56" s="37" t="n">
        <x:v>5.06</x:v>
      </x:c>
      <x:c r="J56" s="23" t="str">
        <x:v>all</x:v>
      </x:c>
      <x:c r="K56" s="43" t="n">
        <x:v>0</x:v>
      </x:c>
      <x:c r="L56" s="37" t="n">
        <x:v>1</x:v>
      </x:c>
      <x:c r="M56" s="37" t="n">
        <x:v>0</x:v>
      </x:c>
      <x:c r="N56" s="37" t="n">
        <x:v>0</x:v>
      </x:c>
    </x:row>
    <x:row r="57">
      <x:c r="A57" s="25" t="str">
        <x:v>重馬場 有利な脚質</x:v>
      </x:c>
      <x:c r="B57" s="23" t="str">
        <x:v>evergreen_research</x:v>
      </x:c>
      <x:c r="C57" s="23" t="str">
        <x:v>unknown</x:v>
      </x:c>
      <x:c r="D57" s="23" t="str">
        <x:v>race_day</x:v>
      </x:c>
      <x:c r="E57" s="23" t="str">
        <x:v>7-10</x:v>
      </x:c>
      <x:c r="F57" s="27" t="n">
        <x:v>0</x:v>
      </x:c>
      <x:c r="G57" s="27" t="n">
        <x:v>54</x:v>
      </x:c>
      <x:c r="H57" s="43" t="n">
        <x:v>0</x:v>
      </x:c>
      <x:c r="I57" s="37" t="n">
        <x:v>7.74</x:v>
      </x:c>
      <x:c r="J57" s="23" t="str">
        <x:v>all</x:v>
      </x:c>
      <x:c r="K57" s="43" t="n">
        <x:v>0</x:v>
      </x:c>
      <x:c r="L57" s="37" t="n">
        <x:v>1</x:v>
      </x:c>
      <x:c r="M57" s="37" t="n">
        <x:v>0</x:v>
      </x:c>
      <x:c r="N57" s="37" t="n">
        <x:v>0</x:v>
      </x:c>
    </x:row>
    <x:row r="58">
      <x:c r="A58" s="25" t="str">
        <x:v>ぎふ清流カップ 2026 予想</x:v>
      </x:c>
      <x:c r="B58" s="23" t="str">
        <x:v>prediction</x:v>
      </x:c>
      <x:c r="C58" s="23" t="str">
        <x:v>unknown</x:v>
      </x:c>
      <x:c r="D58" s="23" t="str">
        <x:v>final_48h</x:v>
      </x:c>
      <x:c r="E58" s="23" t="str">
        <x:v>7-10</x:v>
      </x:c>
      <x:c r="F58" s="27" t="n">
        <x:v>6</x:v>
      </x:c>
      <x:c r="G58" s="27" t="n">
        <x:v>49</x:v>
      </x:c>
      <x:c r="H58" s="43" t="n">
        <x:v>0.12240000000000001</x:v>
      </x:c>
      <x:c r="I58" s="37" t="n">
        <x:v>7.69</x:v>
      </x:c>
      <x:c r="J58" s="23" t="str">
        <x:v>all</x:v>
      </x:c>
      <x:c r="K58" s="43" t="n">
        <x:v>0</x:v>
      </x:c>
      <x:c r="L58" s="37" t="n">
        <x:v>1</x:v>
      </x:c>
      <x:c r="M58" s="37" t="n">
        <x:v>0</x:v>
      </x:c>
      <x:c r="N58" s="37" t="n">
        <x:v>0</x:v>
      </x:c>
    </x:row>
    <x:row r="59">
      <x:c r="A59" s="25" t="str">
        <x:v>地方競馬データ</x:v>
      </x:c>
      <x:c r="B59" s="23" t="str">
        <x:v>evergreen_research</x:v>
      </x:c>
      <x:c r="C59" s="23" t="str">
        <x:v>nar</x:v>
      </x:c>
      <x:c r="D59" s="23" t="str">
        <x:v>evergreen</x:v>
      </x:c>
      <x:c r="E59" s="23" t="str">
        <x:v>11-15</x:v>
      </x:c>
      <x:c r="F59" s="27" t="n">
        <x:v>0</x:v>
      </x:c>
      <x:c r="G59" s="27" t="n">
        <x:v>48</x:v>
      </x:c>
      <x:c r="H59" s="43" t="n">
        <x:v>0</x:v>
      </x:c>
      <x:c r="I59" s="37" t="n">
        <x:v>12.52</x:v>
      </x:c>
      <x:c r="J59" s="23" t="str">
        <x:v>all</x:v>
      </x:c>
      <x:c r="K59" s="43" t="n">
        <x:v>0</x:v>
      </x:c>
      <x:c r="L59" s="37" t="n">
        <x:v>1</x:v>
      </x:c>
      <x:c r="M59" s="37" t="n">
        <x:v>0</x:v>
      </x:c>
      <x:c r="N59" s="37" t="n">
        <x:v>0</x:v>
      </x:c>
    </x:row>
    <x:row r="60">
      <x:c r="A60" s="25" t="str">
        <x:v>オパールカップ予想</x:v>
      </x:c>
      <x:c r="B60" s="23" t="str">
        <x:v>prediction</x:v>
      </x:c>
      <x:c r="C60" s="23" t="str">
        <x:v>unknown</x:v>
      </x:c>
      <x:c r="D60" s="23" t="str">
        <x:v>final_48h</x:v>
      </x:c>
      <x:c r="E60" s="23" t="str">
        <x:v>7-10</x:v>
      </x:c>
      <x:c r="F60" s="27" t="n">
        <x:v>4</x:v>
      </x:c>
      <x:c r="G60" s="27" t="n">
        <x:v>46</x:v>
      </x:c>
      <x:c r="H60" s="43" t="n">
        <x:v>0.087</x:v>
      </x:c>
      <x:c r="I60" s="37" t="n">
        <x:v>8.28</x:v>
      </x:c>
      <x:c r="J60" s="23" t="str">
        <x:v>all</x:v>
      </x:c>
      <x:c r="K60" s="43" t="n">
        <x:v>0</x:v>
      </x:c>
      <x:c r="L60" s="37" t="n">
        <x:v>1</x:v>
      </x:c>
      <x:c r="M60" s="37" t="n">
        <x:v>0</x:v>
      </x:c>
      <x:c r="N60" s="37" t="n">
        <x:v>0</x:v>
      </x:c>
    </x:row>
    <x:row r="61">
      <x:c r="A61" s="25" t="str">
        <x:v>マーキュリーカップ ai 予想</x:v>
      </x:c>
      <x:c r="B61" s="23" t="str">
        <x:v>prediction</x:v>
      </x:c>
      <x:c r="C61" s="23" t="str">
        <x:v>unknown</x:v>
      </x:c>
      <x:c r="D61" s="23" t="str">
        <x:v>final_48h</x:v>
      </x:c>
      <x:c r="E61" s="23" t="str">
        <x:v>7-10</x:v>
      </x:c>
      <x:c r="F61" s="27" t="n">
        <x:v>2</x:v>
      </x:c>
      <x:c r="G61" s="27" t="n">
        <x:v>46</x:v>
      </x:c>
      <x:c r="H61" s="43" t="n">
        <x:v>0.0435</x:v>
      </x:c>
      <x:c r="I61" s="37" t="n">
        <x:v>7.33</x:v>
      </x:c>
      <x:c r="J61" s="23" t="str">
        <x:v>all</x:v>
      </x:c>
      <x:c r="K61" s="43" t="n">
        <x:v>0</x:v>
      </x:c>
      <x:c r="L61" s="37" t="n">
        <x:v>1</x:v>
      </x:c>
      <x:c r="M61" s="37" t="n">
        <x:v>0</x:v>
      </x:c>
      <x:c r="N61" s="37" t="n">
        <x:v>0</x:v>
      </x:c>
    </x:row>
    <x:row r="62">
      <x:c r="A62" s="25" t="str">
        <x:v>競馬データ</x:v>
      </x:c>
      <x:c r="B62" s="23" t="str">
        <x:v>evergreen_research</x:v>
      </x:c>
      <x:c r="C62" s="23" t="str">
        <x:v>unknown</x:v>
      </x:c>
      <x:c r="D62" s="23" t="str">
        <x:v>evergreen</x:v>
      </x:c>
      <x:c r="E62" s="23" t="str">
        <x:v>21+</x:v>
      </x:c>
      <x:c r="F62" s="27" t="n">
        <x:v>0</x:v>
      </x:c>
      <x:c r="G62" s="27" t="n">
        <x:v>45</x:v>
      </x:c>
      <x:c r="H62" s="43" t="n">
        <x:v>0</x:v>
      </x:c>
      <x:c r="I62" s="37" t="n">
        <x:v>25.93</x:v>
      </x:c>
      <x:c r="J62" s="23" t="str">
        <x:v>all</x:v>
      </x:c>
      <x:c r="K62" s="43" t="n">
        <x:v>0</x:v>
      </x:c>
      <x:c r="L62" s="37" t="n">
        <x:v>1</x:v>
      </x:c>
      <x:c r="M62" s="37" t="n">
        <x:v>0</x:v>
      </x:c>
      <x:c r="N62" s="37" t="n">
        <x:v>0</x:v>
      </x:c>
    </x:row>
    <x:row r="63">
      <x:c r="A63" s="25" t="str">
        <x:v>オッズの歪み 競馬 見つけ方</x:v>
      </x:c>
      <x:c r="B63" s="23" t="str">
        <x:v>evergreen_research</x:v>
      </x:c>
      <x:c r="C63" s="23" t="str">
        <x:v>unknown</x:v>
      </x:c>
      <x:c r="D63" s="23" t="str">
        <x:v>evergreen</x:v>
      </x:c>
      <x:c r="E63" s="23" t="str">
        <x:v>7-10</x:v>
      </x:c>
      <x:c r="F63" s="27" t="n">
        <x:v>1</x:v>
      </x:c>
      <x:c r="G63" s="27" t="n">
        <x:v>44</x:v>
      </x:c>
      <x:c r="H63" s="43" t="n">
        <x:v>0.0227</x:v>
      </x:c>
      <x:c r="I63" s="37" t="n">
        <x:v>7.16</x:v>
      </x:c>
      <x:c r="J63" s="23" t="str">
        <x:v>all</x:v>
      </x:c>
      <x:c r="K63" s="43" t="n">
        <x:v>0</x:v>
      </x:c>
      <x:c r="L63" s="37" t="n">
        <x:v>1</x:v>
      </x:c>
      <x:c r="M63" s="37" t="n">
        <x:v>0</x:v>
      </x:c>
      <x:c r="N63" s="37" t="n">
        <x:v>0</x:v>
      </x:c>
    </x:row>
    <x:row r="64">
      <x:c r="A64" s="25" t="str">
        <x:v>星雲賞 2026 門別</x:v>
      </x:c>
      <x:c r="B64" s="23" t="str">
        <x:v>race_entity</x:v>
      </x:c>
      <x:c r="C64" s="23" t="str">
        <x:v>nar</x:v>
      </x:c>
      <x:c r="D64" s="23" t="str">
        <x:v>evergreen</x:v>
      </x:c>
      <x:c r="E64" s="23" t="str">
        <x:v>7-10</x:v>
      </x:c>
      <x:c r="F64" s="27" t="n">
        <x:v>1</x:v>
      </x:c>
      <x:c r="G64" s="27" t="n">
        <x:v>44</x:v>
      </x:c>
      <x:c r="H64" s="43" t="n">
        <x:v>0.0227</x:v>
      </x:c>
      <x:c r="I64" s="37" t="n">
        <x:v>7.89</x:v>
      </x:c>
      <x:c r="J64" s="23" t="str">
        <x:v>all</x:v>
      </x:c>
      <x:c r="K64" s="43" t="n">
        <x:v>0</x:v>
      </x:c>
      <x:c r="L64" s="37" t="n">
        <x:v>1</x:v>
      </x:c>
      <x:c r="M64" s="37" t="n">
        <x:v>0</x:v>
      </x:c>
      <x:c r="N64" s="37" t="n">
        <x:v>0</x:v>
      </x:c>
    </x:row>
    <x:row r="65">
      <x:c r="A65" s="25" t="str">
        <x:v>岩鷲賞 2026 予想</x:v>
      </x:c>
      <x:c r="B65" s="23" t="str">
        <x:v>prediction</x:v>
      </x:c>
      <x:c r="C65" s="23" t="str">
        <x:v>unknown</x:v>
      </x:c>
      <x:c r="D65" s="23" t="str">
        <x:v>final_48h</x:v>
      </x:c>
      <x:c r="E65" s="23" t="str">
        <x:v>11-15</x:v>
      </x:c>
      <x:c r="F65" s="27" t="n">
        <x:v>11</x:v>
      </x:c>
      <x:c r="G65" s="27" t="n">
        <x:v>43</x:v>
      </x:c>
      <x:c r="H65" s="43" t="n">
        <x:v>0.25579999999999997</x:v>
      </x:c>
      <x:c r="I65" s="37" t="n">
        <x:v>10.56</x:v>
      </x:c>
      <x:c r="J65" s="23" t="str">
        <x:v>all</x:v>
      </x:c>
      <x:c r="K65" s="43" t="n">
        <x:v>0</x:v>
      </x:c>
      <x:c r="L65" s="37" t="n">
        <x:v>1</x:v>
      </x:c>
      <x:c r="M65" s="37" t="n">
        <x:v>0</x:v>
      </x:c>
      <x:c r="N65" s="37" t="n">
        <x:v>0</x:v>
      </x:c>
    </x:row>
    <x:row r="66">
      <x:c r="A66" s="25" t="str">
        <x:v>せきれい賞 2026 予想</x:v>
      </x:c>
      <x:c r="B66" s="23" t="str">
        <x:v>prediction</x:v>
      </x:c>
      <x:c r="C66" s="23" t="str">
        <x:v>unknown</x:v>
      </x:c>
      <x:c r="D66" s="23" t="str">
        <x:v>final_48h</x:v>
      </x:c>
      <x:c r="E66" s="23" t="str">
        <x:v>7-10</x:v>
      </x:c>
      <x:c r="F66" s="27" t="n">
        <x:v>6</x:v>
      </x:c>
      <x:c r="G66" s="27" t="n">
        <x:v>41</x:v>
      </x:c>
      <x:c r="H66" s="43" t="n">
        <x:v>0.1463</x:v>
      </x:c>
      <x:c r="I66" s="37" t="n">
        <x:v>9.98</x:v>
      </x:c>
      <x:c r="J66" s="23" t="str">
        <x:v>all</x:v>
      </x:c>
      <x:c r="K66" s="43" t="n">
        <x:v>0</x:v>
      </x:c>
      <x:c r="L66" s="37" t="n">
        <x:v>1</x:v>
      </x:c>
      <x:c r="M66" s="37" t="n">
        <x:v>0</x:v>
      </x:c>
      <x:c r="N66" s="37" t="n">
        <x:v>0</x:v>
      </x:c>
    </x:row>
    <x:row r="67">
      <x:c r="A67" s="25" t="str">
        <x:v>不良馬場 脚質</x:v>
      </x:c>
      <x:c r="B67" s="23" t="str">
        <x:v>evergreen_research</x:v>
      </x:c>
      <x:c r="C67" s="23" t="str">
        <x:v>unknown</x:v>
      </x:c>
      <x:c r="D67" s="23" t="str">
        <x:v>race_day</x:v>
      </x:c>
      <x:c r="E67" s="23" t="str">
        <x:v>4-6</x:v>
      </x:c>
      <x:c r="F67" s="27" t="n">
        <x:v>0</x:v>
      </x:c>
      <x:c r="G67" s="27" t="n">
        <x:v>40</x:v>
      </x:c>
      <x:c r="H67" s="43" t="n">
        <x:v>0</x:v>
      </x:c>
      <x:c r="I67" s="37" t="n">
        <x:v>6.45</x:v>
      </x:c>
      <x:c r="J67" s="23" t="str">
        <x:v>all</x:v>
      </x:c>
      <x:c r="K67" s="43" t="n">
        <x:v>0</x:v>
      </x:c>
      <x:c r="L67" s="37" t="n">
        <x:v>1</x:v>
      </x:c>
      <x:c r="M67" s="37" t="n">
        <x:v>0</x:v>
      </x:c>
      <x:c r="N67" s="37" t="n">
        <x:v>0</x:v>
      </x:c>
    </x:row>
  </x:sheetData>
  <x:mergeCells>
    <x:mergeCell ref="A1:N1"/>
    <x:mergeCell ref="A2:N2"/>
    <x:mergeCell ref="A4:N4"/>
    <x:mergeCell ref="A16:N16"/>
  </x:mergeCells>
  <x:conditionalFormatting sqref="N18:N67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{88BDE1C1-616B-91CF-6B10-91902945EDC9}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8BDE1C1-616B-91CF-6B10-91902945EDC9}">
            <x14:dataBar gradient="1">
              <x14:cfvo type="min"/>
              <x14:cfvo type="max"/>
              <x14:fillColor rgb="FF2563EB"/>
            </x14:dataBar>
          </x14:cfRule>
          <xm:sqref>N18:N67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0" hidden="0" customWidth="1"/>
    <x:col min="5" max="5" width="9" hidden="0" customWidth="1"/>
    <x:col min="6" max="6" width="13" hidden="0" customWidth="1"/>
    <x:col min="7" max="7" width="16" hidden="0" customWidth="1"/>
    <x:col min="8" max="8" width="14" hidden="0" customWidth="1"/>
    <x:col min="9" max="9" width="14" hidden="0" customWidth="1"/>
    <x:col min="10" max="10" width="13" hidden="0" customWidth="1"/>
    <x:col min="11" max="11" width="12" hidden="0" customWidth="1"/>
    <x:col min="12" max="12" width="14" hidden="0" customWidth="1"/>
  </x:cols>
  <x:sheetData>
    <x:row r="1" ht="34" customHeight="1">
      <x:c r="A1" s="3" t="str">
        <x:v>ページ群の役割比較</x:v>
      </x:c>
      <x:c r="B1" s="3" t="str">
        <x:v>ページ群の役割比較</x:v>
      </x:c>
      <x:c r="C1" s="3" t="str">
        <x:v>ページ群の役割比較</x:v>
      </x:c>
      <x:c r="D1" s="3" t="str">
        <x:v>ページ群の役割比較</x:v>
      </x:c>
      <x:c r="E1" s="3" t="str">
        <x:v>ページ群の役割比較</x:v>
      </x:c>
      <x:c r="F1" s="3" t="str">
        <x:v>ページ群の役割比較</x:v>
      </x:c>
      <x:c r="G1" s="3" t="str">
        <x:v>ページ群の役割比較</x:v>
      </x:c>
      <x:c r="H1" s="3" t="str">
        <x:v>ページ群の役割比較</x:v>
      </x:c>
      <x:c r="I1" s="3" t="str">
        <x:v>ページ群の役割比較</x:v>
      </x:c>
      <x:c r="J1" s="3" t="str">
        <x:v>ページ群の役割比較</x:v>
      </x:c>
      <x:c r="K1" s="3" t="str">
        <x:v>ページ群の役割比較</x:v>
      </x:c>
      <x:c r="L1" s="3" t="str">
        <x:v>ページ群の役割比較</x:v>
      </x:c>
    </x:row>
    <x:row r="2" ht="28" customHeight="1">
      <x:c r="A2" s="7" t="str">
        <x:v>Search Consoleは獲得、GA4ランディングは到達後の操作密度。ユーザー数はページ間重複を含む</x:v>
      </x:c>
      <x:c r="B2" s="7" t="str">
        <x:v>Search Consoleは獲得、GA4ランディングは到達後の操作密度。ユーザー数はページ間重複を含む</x:v>
      </x:c>
      <x:c r="C2" s="7" t="str">
        <x:v>Search Consoleは獲得、GA4ランディングは到達後の操作密度。ユーザー数はページ間重複を含む</x:v>
      </x:c>
      <x:c r="D2" s="7" t="str">
        <x:v>Search Consoleは獲得、GA4ランディングは到達後の操作密度。ユーザー数はページ間重複を含む</x:v>
      </x:c>
      <x:c r="E2" s="7" t="str">
        <x:v>Search Consoleは獲得、GA4ランディングは到達後の操作密度。ユーザー数はページ間重複を含む</x:v>
      </x:c>
      <x:c r="F2" s="7" t="str">
        <x:v>Search Consoleは獲得、GA4ランディングは到達後の操作密度。ユーザー数はページ間重複を含む</x:v>
      </x:c>
      <x:c r="G2" s="7" t="str">
        <x:v>Search Consoleは獲得、GA4ランディングは到達後の操作密度。ユーザー数はページ間重複を含む</x:v>
      </x:c>
      <x:c r="H2" s="7" t="str">
        <x:v>Search Consoleは獲得、GA4ランディングは到達後の操作密度。ユーザー数はページ間重複を含む</x:v>
      </x:c>
      <x:c r="I2" s="7" t="str">
        <x:v>Search Consoleは獲得、GA4ランディングは到達後の操作密度。ユーザー数はページ間重複を含む</x:v>
      </x:c>
      <x:c r="J2" s="7" t="str">
        <x:v>Search Consoleは獲得、GA4ランディングは到達後の操作密度。ユーザー数はページ間重複を含む</x:v>
      </x:c>
      <x:c r="K2" s="7" t="str">
        <x:v>Search Consoleは獲得、GA4ランディングは到達後の操作密度。ユーザー数はページ間重複を含む</x:v>
      </x:c>
      <x:c r="L2" s="7" t="str">
        <x:v>Search Consoleは獲得、GA4ランディングは到達後の操作密度。ユーザー数はページ間重複を含む</x:v>
      </x:c>
    </x:row>
    <x:row r="4" ht="26" customHeight="1">
      <x:c r="A4" s="16" t="str">
        <x:v>ページ群</x:v>
      </x:c>
      <x:c r="B4" s="17" t="str">
        <x:v>検索click</x:v>
      </x:c>
      <x:c r="C4" s="17" t="str">
        <x:v>検索表示</x:v>
      </x:c>
      <x:c r="D4" s="17" t="str">
        <x:v>検索CTR</x:v>
      </x:c>
      <x:c r="E4" s="17" t="str">
        <x:v>順位</x:v>
      </x:c>
      <x:c r="F4" s="17" t="str">
        <x:v>利用者出現</x:v>
      </x:c>
      <x:c r="G4" s="17" t="str">
        <x:v>Engaged session</x:v>
      </x:c>
      <x:c r="H4" s="17" t="str">
        <x:v>平均engage秒</x:v>
      </x:c>
      <x:c r="I4" s="17" t="str">
        <x:v>event/利用者</x:v>
      </x:c>
      <x:c r="J4" s="17" t="str">
        <x:v>GA広告収益</x:v>
      </x:c>
      <x:c r="K4" s="17" t="str">
        <x:v>Engaged率</x:v>
      </x:c>
      <x:c r="L4" s="18" t="str">
        <x:v>役割</x:v>
      </x:c>
    </x:row>
    <x:row r="5">
      <x:c r="A5" s="22" t="str">
        <x:v>article</x:v>
      </x:c>
      <x:c r="B5" s="26" t="n">
        <x:v>955</x:v>
      </x:c>
      <x:c r="C5" s="26" t="n">
        <x:v>30923</x:v>
      </x:c>
      <x:c r="D5" s="42" t="n">
        <x:v>0.030883</x:v>
      </x:c>
      <x:c r="E5" s="36" t="n">
        <x:v>8.336</x:v>
      </x:c>
      <x:c r="F5" s="26" t="n">
        <x:v>853</x:v>
      </x:c>
      <x:c r="G5" s="26" t="n">
        <x:v>736</x:v>
      </x:c>
      <x:c r="H5" s="36" t="n">
        <x:v>72.08</x:v>
      </x:c>
      <x:c r="I5" s="36" t="n">
        <x:v>12.09</x:v>
      </x:c>
      <x:c r="J5" s="30" t="n">
        <x:v>0</x:v>
      </x:c>
      <x:c r="K5" s="34" t="n">
        <x:f>IFERROR(G5/F5,0)</x:f>
        <x:v>0.8628370457209847</x:v>
      </x:c>
      <x:c r="L5" s="22" t="str">
        <x:f>IF(A5="article","検索獲得",IF(A5="race_detail","回遊・操作",IF(A5="home","再接続","補助")))</x:f>
        <x:v>検索獲得</x:v>
      </x:c>
    </x:row>
    <x:row r="6">
      <x:c r="A6" s="23" t="str">
        <x:v>race_detail</x:v>
      </x:c>
      <x:c r="B6" s="27" t="n">
        <x:v>246</x:v>
      </x:c>
      <x:c r="C6" s="27" t="n">
        <x:v>5118</x:v>
      </x:c>
      <x:c r="D6" s="43" t="n">
        <x:v>0.048066</x:v>
      </x:c>
      <x:c r="E6" s="37" t="n">
        <x:v>8.67</x:v>
      </x:c>
      <x:c r="F6" s="27" t="n">
        <x:v>297</x:v>
      </x:c>
      <x:c r="G6" s="27" t="n">
        <x:v>198</x:v>
      </x:c>
      <x:c r="H6" s="37" t="n">
        <x:v>52.18</x:v>
      </x:c>
      <x:c r="I6" s="37" t="n">
        <x:v>19.55</x:v>
      </x:c>
      <x:c r="J6" s="31" t="n">
        <x:v>0</x:v>
      </x:c>
      <x:c r="K6" s="35" t="n">
        <x:f>IFERROR(G6/F6,0)</x:f>
        <x:v>0.6666666666666666</x:v>
      </x:c>
      <x:c r="L6" s="23" t="str">
        <x:f>IF(A6="article","検索獲得",IF(A6="race_detail","回遊・操作",IF(A6="home","再接続","補助")))</x:f>
        <x:v>回遊・操作</x:v>
      </x:c>
    </x:row>
    <x:row r="7">
      <x:c r="A7" s="23" t="str">
        <x:v>home</x:v>
      </x:c>
      <x:c r="B7" s="27" t="n">
        <x:v>159</x:v>
      </x:c>
      <x:c r="C7" s="27" t="n">
        <x:v>1248</x:v>
      </x:c>
      <x:c r="D7" s="43" t="n">
        <x:v>0.127404</x:v>
      </x:c>
      <x:c r="E7" s="37" t="n">
        <x:v>9.63</x:v>
      </x:c>
      <x:c r="F7" s="27" t="n">
        <x:v>197</x:v>
      </x:c>
      <x:c r="G7" s="27" t="n">
        <x:v>130</x:v>
      </x:c>
      <x:c r="H7" s="37" t="n">
        <x:v>88.26</x:v>
      </x:c>
      <x:c r="I7" s="37" t="n">
        <x:v>42.85</x:v>
      </x:c>
      <x:c r="J7" s="31" t="n">
        <x:v>0</x:v>
      </x:c>
      <x:c r="K7" s="35" t="n">
        <x:f>IFERROR(G7/F7,0)</x:f>
        <x:v>0.6598984771573604</x:v>
      </x:c>
      <x:c r="L7" s="23" t="str">
        <x:f>IF(A7="article","検索獲得",IF(A7="race_detail","回遊・操作",IF(A7="home","再接続","補助")))</x:f>
        <x:v>再接続</x:v>
      </x:c>
    </x:row>
    <x:row r="8">
      <x:c r="A8" s="23" t="str">
        <x:v>data_hub</x:v>
      </x:c>
      <x:c r="B8" s="27" t="n">
        <x:v>13</x:v>
      </x:c>
      <x:c r="C8" s="27" t="n">
        <x:v>377</x:v>
      </x:c>
      <x:c r="D8" s="43" t="n">
        <x:v>0.034483</x:v>
      </x:c>
      <x:c r="E8" s="37" t="n">
        <x:v>8.638</x:v>
      </x:c>
      <x:c r="F8" s="27" t="n">
        <x:v>15</x:v>
      </x:c>
      <x:c r="G8" s="27" t="n">
        <x:v>9</x:v>
      </x:c>
      <x:c r="H8" s="37" t="n">
        <x:v>151.13</x:v>
      </x:c>
      <x:c r="I8" s="37" t="n">
        <x:v>8.8</x:v>
      </x:c>
      <x:c r="J8" s="31" t="n">
        <x:v>0</x:v>
      </x:c>
      <x:c r="K8" s="35" t="n">
        <x:f>IFERROR(G8/F8,0)</x:f>
        <x:v>0.6</x:v>
      </x:c>
      <x:c r="L8" s="23" t="str">
        <x:f>IF(A8="article","検索獲得",IF(A8="race_detail","回遊・操作",IF(A8="home","再接続","補助")))</x:f>
        <x:v>補助</x:v>
      </x:c>
    </x:row>
    <x:row r="9">
      <x:c r="A9" s="23" t="str">
        <x:v>other</x:v>
      </x:c>
      <x:c r="B9" s="27" t="n">
        <x:v>9</x:v>
      </x:c>
      <x:c r="C9" s="27" t="n">
        <x:v>596</x:v>
      </x:c>
      <x:c r="D9" s="43" t="n">
        <x:v>0.015101</x:v>
      </x:c>
      <x:c r="E9" s="37" t="n">
        <x:v>6.669</x:v>
      </x:c>
      <x:c r="F9" s="27" t="n">
        <x:v>22</x:v>
      </x:c>
      <x:c r="G9" s="27" t="n">
        <x:v>11</x:v>
      </x:c>
      <x:c r="H9" s="37" t="n">
        <x:v>28.23</x:v>
      </x:c>
      <x:c r="I9" s="37" t="n">
        <x:v>13</x:v>
      </x:c>
      <x:c r="J9" s="31" t="n">
        <x:v>0</x:v>
      </x:c>
      <x:c r="K9" s="35" t="n">
        <x:f>IFERROR(G9/F9,0)</x:f>
        <x:v>0.5</x:v>
      </x:c>
      <x:c r="L9" s="23" t="str">
        <x:f>IF(A9="article","検索獲得",IF(A9="race_detail","回遊・操作",IF(A9="home","再接続","補助")))</x:f>
        <x:v>補助</x:v>
      </x:c>
    </x:row>
    <x:row r="10">
      <x:c r="A10" s="23" t="str">
        <x:v>course</x:v>
      </x:c>
      <x:c r="B10" s="27" t="n">
        <x:v>8</x:v>
      </x:c>
      <x:c r="C10" s="27" t="n">
        <x:v>295</x:v>
      </x:c>
      <x:c r="D10" s="43" t="n">
        <x:v>0.027119</x:v>
      </x:c>
      <x:c r="E10" s="37" t="n">
        <x:v>9.753</x:v>
      </x:c>
      <x:c r="F10" s="27" t="n">
        <x:v>11</x:v>
      </x:c>
      <x:c r="G10" s="27" t="n">
        <x:v>7</x:v>
      </x:c>
      <x:c r="H10" s="37" t="n">
        <x:v>20.64</x:v>
      </x:c>
      <x:c r="I10" s="37" t="n">
        <x:v>8.09</x:v>
      </x:c>
      <x:c r="J10" s="31" t="n">
        <x:v>0</x:v>
      </x:c>
      <x:c r="K10" s="35" t="n">
        <x:f>IFERROR(G10/F10,0)</x:f>
        <x:v>0.6363636363636364</x:v>
      </x:c>
      <x:c r="L10" s="23" t="str">
        <x:f>IF(A10="article","検索獲得",IF(A10="race_detail","回遊・操作",IF(A10="home","再接続","補助")))</x:f>
        <x:v>補助</x:v>
      </x:c>
    </x:row>
    <x:row r="11">
      <x:c r="A11" s="23" t="str">
        <x:v>race_day</x:v>
      </x:c>
      <x:c r="B11" s="27" t="n">
        <x:v>7</x:v>
      </x:c>
      <x:c r="C11" s="27" t="n">
        <x:v>333</x:v>
      </x:c>
      <x:c r="D11" s="43" t="n">
        <x:v>0.021021</x:v>
      </x:c>
      <x:c r="E11" s="37" t="n">
        <x:v>10.135</x:v>
      </x:c>
      <x:c r="F11" s="27" t="n">
        <x:v>32</x:v>
      </x:c>
      <x:c r="G11" s="27" t="n">
        <x:v>7</x:v>
      </x:c>
      <x:c r="H11" s="37" t="n">
        <x:v>66.38</x:v>
      </x:c>
      <x:c r="I11" s="37" t="n">
        <x:v>33</x:v>
      </x:c>
      <x:c r="J11" s="31" t="n">
        <x:v>0</x:v>
      </x:c>
      <x:c r="K11" s="35" t="n">
        <x:f>IFERROR(G11/F11,0)</x:f>
        <x:v>0.21875</x:v>
      </x:c>
      <x:c r="L11" s="23" t="str">
        <x:f>IF(A11="article","検索獲得",IF(A11="race_detail","回遊・操作",IF(A11="home","再接続","補助")))</x:f>
        <x:v>補助</x:v>
      </x:c>
    </x:row>
    <x:row r="12">
      <x:c r="A12" s="23" t="str">
        <x:v>article_index</x:v>
      </x:c>
      <x:c r="B12" s="27" t="n">
        <x:v>0</x:v>
      </x:c>
      <x:c r="C12" s="27" t="n">
        <x:v>128</x:v>
      </x:c>
      <x:c r="D12" s="43" t="n">
        <x:v>0</x:v>
      </x:c>
      <x:c r="E12" s="37" t="n">
        <x:v>11.149</x:v>
      </x:c>
      <x:c r="F12" s="27" t="n">
        <x:v>0</x:v>
      </x:c>
      <x:c r="G12" s="27" t="n">
        <x:v>0</x:v>
      </x:c>
      <x:c r="H12" s="37" t="n">
        <x:v>0</x:v>
      </x:c>
      <x:c r="I12" s="37" t="n">
        <x:v>0</x:v>
      </x:c>
      <x:c r="J12" s="31" t="n">
        <x:v>0</x:v>
      </x:c>
      <x:c r="K12" s="35" t="n">
        <x:f>IFERROR(G12/F12,0)</x:f>
        <x:v>0</x:v>
      </x:c>
      <x:c r="L12" s="23" t="str">
        <x:f>IF(A12="article","検索獲得",IF(A12="race_detail","回遊・操作",IF(A12="home","再接続","補助")))</x:f>
        <x:v>補助</x:v>
      </x:c>
    </x:row>
    <x:row r="13">
      <x:c r="A13" s="23" t="str">
        <x:v>horse</x:v>
      </x:c>
      <x:c r="B13" s="27" t="n">
        <x:v>0</x:v>
      </x:c>
      <x:c r="C13" s="27" t="n">
        <x:v>5</x:v>
      </x:c>
      <x:c r="D13" s="43" t="n">
        <x:v>0</x:v>
      </x:c>
      <x:c r="E13" s="37" t="n">
        <x:v>27</x:v>
      </x:c>
      <x:c r="F13" s="27" t="n">
        <x:v>1</x:v>
      </x:c>
      <x:c r="G13" s="27" t="n">
        <x:v>0</x:v>
      </x:c>
      <x:c r="H13" s="37" t="n">
        <x:v>23</x:v>
      </x:c>
      <x:c r="I13" s="37" t="n">
        <x:v>8</x:v>
      </x:c>
      <x:c r="J13" s="31" t="n">
        <x:v>0</x:v>
      </x:c>
      <x:c r="K13" s="35" t="n">
        <x:f>IFERROR(G13/F13,0)</x:f>
        <x:v>0</x:v>
      </x:c>
      <x:c r="L13" s="23" t="str">
        <x:f>IF(A13="article","検索獲得",IF(A13="race_detail","回遊・操作",IF(A13="home","再接続","補助")))</x:f>
        <x:v>補助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4" hidden="0" customWidth="1"/>
    <x:col min="6" max="6" width="10" hidden="0" customWidth="1"/>
    <x:col min="7" max="7" width="13" hidden="0" customWidth="1"/>
    <x:col min="8" max="8" width="16" hidden="0" customWidth="1"/>
    <x:col min="9" max="9" width="4" hidden="0" customWidth="1"/>
    <x:col min="10" max="10" width="4" hidden="0" customWidth="1"/>
  </x:cols>
  <x:sheetData>
    <x:row r="1" ht="34" customHeight="1">
      <x:c r="A1" s="3" t="str">
        <x:v>広告収益・配置</x:v>
      </x:c>
      <x:c r="B1" s="3" t="str">
        <x:v>広告収益・配置</x:v>
      </x:c>
      <x:c r="C1" s="3" t="str">
        <x:v>広告収益・配置</x:v>
      </x:c>
      <x:c r="D1" s="3" t="str">
        <x:v>広告収益・配置</x:v>
      </x:c>
      <x:c r="E1" s="3" t="str">
        <x:v>広告収益・配置</x:v>
      </x:c>
      <x:c r="F1" s="3" t="str">
        <x:v>広告収益・配置</x:v>
      </x:c>
      <x:c r="G1" s="3" t="str">
        <x:v>広告収益・配置</x:v>
      </x:c>
      <x:c r="H1" s="3" t="str">
        <x:v>広告収益・配置</x:v>
      </x:c>
      <x:c r="I1" s="3" t="str">
        <x:v>広告収益・配置</x:v>
      </x:c>
      <x:c r="J1" s="3" t="str">
        <x:v>広告収益・配置</x:v>
      </x:c>
    </x:row>
    <x:row r="2" ht="28" customHeight="1">
      <x:c r="A2" s="7" t="str">
        <x:v>広告密度を増やさず、既存配置の収益/1,000人間セッションと視認性を比較</x:v>
      </x:c>
      <x:c r="B2" s="7" t="str">
        <x:v>広告密度を増やさず、既存配置の収益/1,000人間セッションと視認性を比較</x:v>
      </x:c>
      <x:c r="C2" s="7" t="str">
        <x:v>広告密度を増やさず、既存配置の収益/1,000人間セッションと視認性を比較</x:v>
      </x:c>
      <x:c r="D2" s="7" t="str">
        <x:v>広告密度を増やさず、既存配置の収益/1,000人間セッションと視認性を比較</x:v>
      </x:c>
      <x:c r="E2" s="7" t="str">
        <x:v>広告密度を増やさず、既存配置の収益/1,000人間セッションと視認性を比較</x:v>
      </x:c>
      <x:c r="F2" s="7" t="str">
        <x:v>広告密度を増やさず、既存配置の収益/1,000人間セッションと視認性を比較</x:v>
      </x:c>
      <x:c r="G2" s="7" t="str">
        <x:v>広告密度を増やさず、既存配置の収益/1,000人間セッションと視認性を比較</x:v>
      </x:c>
      <x:c r="H2" s="7" t="str">
        <x:v>広告密度を増やさず、既存配置の収益/1,000人間セッションと視認性を比較</x:v>
      </x:c>
      <x:c r="I2" s="7" t="str">
        <x:v>広告密度を増やさず、既存配置の収益/1,000人間セッションと視認性を比較</x:v>
      </x:c>
      <x:c r="J2" s="7" t="str">
        <x:v>広告密度を増やさず、既存配置の収益/1,000人間セッションと視認性を比較</x:v>
      </x:c>
    </x:row>
    <x:row r="4" ht="24" customHeight="1">
      <x:c r="A4" s="41" t="str">
        <x:v>全体基準</x:v>
      </x:c>
      <x:c r="B4" s="41" t="str">
        <x:v>全体基準</x:v>
      </x:c>
      <x:c r="C4" s="41" t="str">
        <x:v>全体基準</x:v>
      </x:c>
      <x:c r="D4" s="41" t="str">
        <x:v>全体基準</x:v>
      </x:c>
      <x:c r="E4" s="41" t="str">
        <x:v>全体基準</x:v>
      </x:c>
      <x:c r="F4" s="41" t="str">
        <x:v>全体基準</x:v>
      </x:c>
      <x:c r="G4" s="41" t="str">
        <x:v>全体基準</x:v>
      </x:c>
      <x:c r="H4" s="41" t="str">
        <x:v>全体基準</x:v>
      </x:c>
      <x:c r="I4" s="41" t="str">
        <x:v>全体基準</x:v>
      </x:c>
      <x:c r="J4" s="41" t="str">
        <x:v>全体基準</x:v>
      </x:c>
    </x:row>
    <x:row r="5" ht="26" customHeight="1">
      <x:c r="A5" s="16" t="str">
        <x:v>指標</x:v>
      </x:c>
      <x:c r="B5" s="17" t="str">
        <x:v>値</x:v>
      </x:c>
      <x:c r="C5" s="18" t="str">
        <x:v>単位/注記</x:v>
      </x:c>
    </x:row>
    <x:row r="6">
      <x:c r="A6" s="22" t="str">
        <x:v>推定収益</x:v>
      </x:c>
      <x:c r="B6" s="30" t="n">
        <x:v>1666</x:v>
      </x:c>
      <x:c r="C6" s="22" t="str">
        <x:v>JPY</x:v>
      </x:c>
    </x:row>
    <x:row r="7">
      <x:c r="A7" s="23" t="str">
        <x:v>PV</x:v>
      </x:c>
      <x:c r="B7" s="27" t="n">
        <x:v>6475</x:v>
      </x:c>
      <x:c r="C7" s="23" t="str">
        <x:v>page views</x:v>
      </x:c>
    </x:row>
    <x:row r="8">
      <x:c r="A8" s="23" t="str">
        <x:v>Page RPM</x:v>
      </x:c>
      <x:c r="B8" s="44" t="n">
        <x:f>IFERROR(B6/B7*1000,0)</x:f>
        <x:v>257.2972972972973</x:v>
      </x:c>
      <x:c r="C8" s="23" t="str">
        <x:v>数式: 収益/PV×1000</x:v>
      </x:c>
    </x:row>
    <x:row r="9">
      <x:c r="A9" s="23" t="str">
        <x:v>広告表示</x:v>
      </x:c>
      <x:c r="B9" s="27" t="n">
        <x:v>19965</x:v>
      </x:c>
      <x:c r="C9" s="23" t="str">
        <x:v>impressions</x:v>
      </x:c>
    </x:row>
    <x:row r="10">
      <x:c r="A10" s="23" t="str">
        <x:v>Active View</x:v>
      </x:c>
      <x:c r="B10" s="35" t="n">
        <x:v>0.64352</x:v>
      </x:c>
      <x:c r="C10" s="23" t="str">
        <x:v>加重</x:v>
      </x:c>
    </x:row>
    <x:row r="11">
      <x:c r="A11" s="23" t="str">
        <x:v>収益/1,000人間session</x:v>
      </x:c>
      <x:c r="B11" s="44" t="n">
        <x:v>362.41</x:v>
      </x:c>
      <x:c r="C11" s="23" t="str">
        <x:v>Clarity推定session基準</x:v>
      </x:c>
    </x:row>
    <x:row r="12">
      <x:c r="A12" s="23" t="str">
        <x:v>手動広告収益構成</x:v>
      </x:c>
      <x:c r="B12" s="35" t="n">
        <x:v>0.163866</x:v>
      </x:c>
      <x:c r="C12" s="23" t="str">
        <x:v>全収益比</x:v>
      </x:c>
    </x:row>
    <x:row r="13">
      <x:c r="A13" s="23" t="str">
        <x:v>Offerwall基準構成</x:v>
      </x:c>
      <x:c r="B13" s="35" t="n">
        <x:v>0.167467</x:v>
      </x:c>
      <x:c r="C13" s="23" t="str">
        <x:v>固定ベースライン</x:v>
      </x:c>
    </x:row>
    <x:row r="15" ht="24" customHeight="1">
      <x:c r="A15" s="41" t="str">
        <x:v>手動広告ユニット</x:v>
      </x:c>
      <x:c r="B15" s="41" t="str">
        <x:v>手動広告ユニット</x:v>
      </x:c>
      <x:c r="C15" s="41" t="str">
        <x:v>手動広告ユニット</x:v>
      </x:c>
      <x:c r="D15" s="41" t="str">
        <x:v>手動広告ユニット</x:v>
      </x:c>
      <x:c r="E15" s="41" t="str">
        <x:v>手動広告ユニット</x:v>
      </x:c>
      <x:c r="F15" s="41" t="str">
        <x:v>手動広告ユニット</x:v>
      </x:c>
      <x:c r="G15" s="41" t="str">
        <x:v>手動広告ユニット</x:v>
      </x:c>
      <x:c r="H15" s="41" t="str">
        <x:v>手動広告ユニット</x:v>
      </x:c>
      <x:c r="I15" s="41" t="str">
        <x:v>手動広告ユニット</x:v>
      </x:c>
      <x:c r="J15" s="41" t="str">
        <x:v>手動広告ユニット</x:v>
      </x:c>
    </x:row>
    <x:row r="16" ht="26" customHeight="1">
      <x:c r="A16" s="16" t="str">
        <x:v>広告ユニット</x:v>
      </x:c>
      <x:c r="B16" s="17" t="str">
        <x:v>収益</x:v>
      </x:c>
      <x:c r="C16" s="17" t="str">
        <x:v>表示</x:v>
      </x:c>
      <x:c r="D16" s="17" t="str">
        <x:v>表示RPM</x:v>
      </x:c>
      <x:c r="E16" s="17" t="str">
        <x:v>Active View</x:v>
      </x:c>
      <x:c r="F16" s="17" t="str">
        <x:v>click</x:v>
      </x:c>
      <x:c r="G16" s="17" t="str">
        <x:v>収益構成</x:v>
      </x:c>
      <x:c r="H16" s="18" t="str">
        <x:v>実績RPM再計算</x:v>
      </x:c>
    </x:row>
    <x:row r="17">
      <x:c r="A17" s="22" t="str">
        <x:v>header-ad</x:v>
      </x:c>
      <x:c r="B17" s="30" t="n">
        <x:v>131</x:v>
      </x:c>
      <x:c r="C17" s="26" t="n">
        <x:v>3146</x:v>
      </x:c>
      <x:c r="D17" s="26" t="n">
        <x:v>42</x:v>
      </x:c>
      <x:c r="E17" s="34" t="n">
        <x:v>0.2933</x:v>
      </x:c>
      <x:c r="F17" s="26" t="n">
        <x:v>12</x:v>
      </x:c>
      <x:c r="G17" s="34" t="n">
        <x:f>IFERROR(B17/$B$6,0)</x:f>
        <x:v>0.07863145258103241</x:v>
      </x:c>
      <x:c r="H17" s="45" t="n">
        <x:f>IFERROR(B17/C17*1000,0)</x:f>
        <x:v>41.64017800381436</x:v>
      </x:c>
    </x:row>
    <x:row r="18">
      <x:c r="A18" s="23" t="str">
        <x:v>in-feed-ad</x:v>
      </x:c>
      <x:c r="B18" s="31" t="n">
        <x:v>83</x:v>
      </x:c>
      <x:c r="C18" s="27" t="n">
        <x:v>3449</x:v>
      </x:c>
      <x:c r="D18" s="27" t="n">
        <x:v>24</x:v>
      </x:c>
      <x:c r="E18" s="35" t="n">
        <x:v>0.4414</x:v>
      </x:c>
      <x:c r="F18" s="27" t="n">
        <x:v>28</x:v>
      </x:c>
      <x:c r="G18" s="35" t="n">
        <x:f>IFERROR(B18/$B$6,0)</x:f>
        <x:v>0.04981992797118848</x:v>
      </x:c>
      <x:c r="H18" s="44" t="n">
        <x:f>IFERROR(B18/C18*1000,0)</x:f>
        <x:v>24.064946361264134</x:v>
      </x:c>
    </x:row>
    <x:row r="19">
      <x:c r="A19" s="23" t="str">
        <x:v>infeed-content</x:v>
      </x:c>
      <x:c r="B19" s="31" t="n">
        <x:v>33</x:v>
      </x:c>
      <x:c r="C19" s="27" t="n">
        <x:v>3768</x:v>
      </x:c>
      <x:c r="D19" s="27" t="n">
        <x:v>9</x:v>
      </x:c>
      <x:c r="E19" s="35" t="n">
        <x:v>0.5693</x:v>
      </x:c>
      <x:c r="F19" s="27" t="n">
        <x:v>3</x:v>
      </x:c>
      <x:c r="G19" s="35" t="n">
        <x:f>IFERROR(B19/$B$6,0)</x:f>
        <x:v>0.019807923169267706</x:v>
      </x:c>
      <x:c r="H19" s="44" t="n">
        <x:f>IFERROR(B19/C19*1000,0)</x:f>
        <x:v>8.757961783439491</x:v>
      </x:c>
    </x:row>
    <x:row r="20">
      <x:c r="A20" s="23" t="str">
        <x:v>anchor-ad</x:v>
      </x:c>
      <x:c r="B20" s="31" t="n">
        <x:v>26</x:v>
      </x:c>
      <x:c r="C20" s="27" t="n">
        <x:v>1163</x:v>
      </x:c>
      <x:c r="D20" s="27" t="n">
        <x:v>23</x:v>
      </x:c>
      <x:c r="E20" s="35" t="n">
        <x:v>0.5506</x:v>
      </x:c>
      <x:c r="F20" s="27" t="n">
        <x:v>5</x:v>
      </x:c>
      <x:c r="G20" s="35" t="n">
        <x:f>IFERROR(B20/$B$6,0)</x:f>
        <x:v>0.015606242496998799</x:v>
      </x:c>
      <x:c r="H20" s="44" t="n">
        <x:f>IFERROR(B20/C20*1000,0)</x:f>
        <x:v>22.35597592433362</x:v>
      </x:c>
    </x:row>
  </x:sheetData>
  <x:mergeCells>
    <x:mergeCell ref="A1:J1"/>
    <x:mergeCell ref="A2:J2"/>
    <x:mergeCell ref="A4:J4"/>
    <x:mergeCell ref="A15:J1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4" hidden="0" customWidth="1"/>
    <x:col min="5" max="5" width="4" hidden="0" customWidth="1"/>
    <x:col min="6" max="6" width="26" hidden="0" customWidth="1"/>
    <x:col min="7" max="7" width="12" hidden="0" customWidth="1"/>
    <x:col min="8" max="8" width="15" hidden="0" customWidth="1"/>
    <x:col min="9" max="9" width="4" hidden="0" customWidth="1"/>
  </x:cols>
  <x:sheetData>
    <x:row r="1" ht="34" customHeight="1">
      <x:c r="A1" s="3" t="str">
        <x:v>回遊・Clarity行動</x:v>
      </x:c>
      <x:c r="B1" s="3" t="str">
        <x:v>回遊・Clarity行動</x:v>
      </x:c>
      <x:c r="C1" s="3" t="str">
        <x:v>回遊・Clarity行動</x:v>
      </x:c>
      <x:c r="D1" s="3" t="str">
        <x:v>回遊・Clarity行動</x:v>
      </x:c>
      <x:c r="E1" s="3" t="str">
        <x:v>回遊・Clarity行動</x:v>
      </x:c>
      <x:c r="F1" s="3" t="str">
        <x:v>回遊・Clarity行動</x:v>
      </x:c>
      <x:c r="G1" s="3" t="str">
        <x:v>回遊・Clarity行動</x:v>
      </x:c>
      <x:c r="H1" s="3" t="str">
        <x:v>回遊・Clarity行動</x:v>
      </x:c>
      <x:c r="I1" s="3" t="str">
        <x:v>回遊・Clarity行動</x:v>
      </x:c>
    </x:row>
    <x:row r="2" ht="28" customHeight="1">
      <x:c r="A2" s="7" t="str">
        <x:v>スマートイベントはイベント総数ではなく、該当イベントが発生したセッション数</x:v>
      </x:c>
      <x:c r="B2" s="7" t="str">
        <x:v>スマートイベントはイベント総数ではなく、該当イベントが発生したセッション数</x:v>
      </x:c>
      <x:c r="C2" s="7" t="str">
        <x:v>スマートイベントはイベント総数ではなく、該当イベントが発生したセッション数</x:v>
      </x:c>
      <x:c r="D2" s="7" t="str">
        <x:v>スマートイベントはイベント総数ではなく、該当イベントが発生したセッション数</x:v>
      </x:c>
      <x:c r="E2" s="7" t="str">
        <x:v>スマートイベントはイベント総数ではなく、該当イベントが発生したセッション数</x:v>
      </x:c>
      <x:c r="F2" s="7" t="str">
        <x:v>スマートイベントはイベント総数ではなく、該当イベントが発生したセッション数</x:v>
      </x:c>
      <x:c r="G2" s="7" t="str">
        <x:v>スマートイベントはイベント総数ではなく、該当イベントが発生したセッション数</x:v>
      </x:c>
      <x:c r="H2" s="7" t="str">
        <x:v>スマートイベントはイベント総数ではなく、該当イベントが発生したセッション数</x:v>
      </x:c>
      <x:c r="I2" s="7" t="str">
        <x:v>スマートイベントはイベント総数ではなく、該当イベントが発生したセッション数</x:v>
      </x:c>
    </x:row>
    <x:row r="4" ht="24" customHeight="1">
      <x:c r="A4" s="41" t="str">
        <x:v>ファネル</x:v>
      </x:c>
      <x:c r="B4" s="41" t="str">
        <x:v>ファネル</x:v>
      </x:c>
      <x:c r="C4" s="41" t="str">
        <x:v>ファネル</x:v>
      </x:c>
      <x:c r="D4" s="41" t="str">
        <x:v>ファネル</x:v>
      </x:c>
      <x:c r="E4" s="41" t="str">
        <x:v>ファネル</x:v>
      </x:c>
      <x:c r="F4" s="41" t="str">
        <x:v>ファネル</x:v>
      </x:c>
      <x:c r="G4" s="41" t="str">
        <x:v>ファネル</x:v>
      </x:c>
      <x:c r="H4" s="41" t="str">
        <x:v>ファネル</x:v>
      </x:c>
      <x:c r="I4" s="41" t="str">
        <x:v>ファネル</x:v>
      </x:c>
    </x:row>
    <x:row r="5" ht="26" customHeight="1">
      <x:c r="A5" s="16" t="str">
        <x:v>ファネル</x:v>
      </x:c>
      <x:c r="B5" s="17" t="str">
        <x:v>率</x:v>
      </x:c>
      <x:c r="C5" s="18" t="str">
        <x:v>判断</x:v>
      </x:c>
    </x:row>
    <x:row r="6">
      <x:c r="A6" s="22" t="str">
        <x:v>race_view → prediction_table_view</x:v>
      </x:c>
      <x:c r="B6" s="42" t="n">
        <x:v>0.934741</x:v>
      </x:c>
      <x:c r="C6" s="22" t="str">
        <x:v>予想表への到達が強い</x:v>
      </x:c>
    </x:row>
    <x:row r="7">
      <x:c r="A7" s="23" t="str">
        <x:v>race_view → race_navigation</x:v>
      </x:c>
      <x:c r="B7" s="43" t="n">
        <x:v>0.619962</x:v>
      </x:c>
      <x:c r="C7" s="23" t="str">
        <x:v>複数レース巡回の核</x:v>
      </x:c>
    </x:row>
    <x:row r="8">
      <x:c r="A8" s="23" t="str">
        <x:v>affiliate impression → click</x:v>
      </x:c>
      <x:c r="B8" s="43" t="n">
        <x:v>0.002597</x:v>
      </x:c>
      <x:c r="C8" s="23" t="str">
        <x:v>露出拡大前に適格化</x:v>
      </x:c>
    </x:row>
    <x:row r="11" ht="24" customHeight="1">
      <x:c r="A11" s="41" t="str">
        <x:v>スマートイベント</x:v>
      </x:c>
      <x:c r="B11" s="41" t="str">
        <x:v>スマートイベント</x:v>
      </x:c>
      <x:c r="C11" s="41" t="str">
        <x:v>スマートイベント</x:v>
      </x:c>
      <x:c r="F11" s="41" t="str">
        <x:v>摩擦シグナル</x:v>
      </x:c>
      <x:c r="G11" s="41" t="str">
        <x:v>摩擦シグナル</x:v>
      </x:c>
      <x:c r="H11" s="41" t="str">
        <x:v>摩擦シグナル</x:v>
      </x:c>
    </x:row>
    <x:row r="12" ht="26" customHeight="1">
      <x:c r="A12" s="16" t="str">
        <x:v>イベント</x:v>
      </x:c>
      <x:c r="B12" s="17" t="str">
        <x:v>発生session</x:v>
      </x:c>
      <x:c r="C12" s="18" t="str">
        <x:v>session構成</x:v>
      </x:c>
      <x:c r="F12" s="54" t="str">
        <x:v>インサイト</x:v>
      </x:c>
      <x:c r="G12" s="55" t="str">
        <x:v>session</x:v>
      </x:c>
      <x:c r="H12" s="56" t="str">
        <x:v>session構成</x:v>
      </x:c>
    </x:row>
    <x:row r="13">
      <x:c r="A13" s="22" t="str">
        <x:v>affiliate_impression</x:v>
      </x:c>
      <x:c r="B13" s="26" t="n">
        <x:v>4236</x:v>
      </x:c>
      <x:c r="C13" s="42" t="n">
        <x:v>0.9215000000000001</x:v>
      </x:c>
      <x:c r="F13" s="22" t="str">
        <x:v>イライラしたクリック</x:v>
      </x:c>
      <x:c r="G13" s="26" t="n">
        <x:v>8</x:v>
      </x:c>
      <x:c r="H13" s="42" t="n">
        <x:v>0.0017000000000000001</x:v>
      </x:c>
    </x:row>
    <x:row r="14">
      <x:c r="A14" s="23" t="str">
        <x:v>ad_impression_custom</x:v>
      </x:c>
      <x:c r="B14" s="27" t="n">
        <x:v>2745</x:v>
      </x:c>
      <x:c r="C14" s="43" t="n">
        <x:v>0.5971</x:v>
      </x:c>
      <x:c r="F14" s="23" t="str">
        <x:v>デッド クリック</x:v>
      </x:c>
      <x:c r="G14" s="27" t="n">
        <x:v>738</x:v>
      </x:c>
      <x:c r="H14" s="43" t="n">
        <x:v>0.1605</x:v>
      </x:c>
    </x:row>
    <x:row r="15">
      <x:c r="A15" s="23" t="str">
        <x:v>race_view</x:v>
      </x:c>
      <x:c r="B15" s="27" t="n">
        <x:v>2605</x:v>
      </x:c>
      <x:c r="C15" s="43" t="n">
        <x:v>0.5667</x:v>
      </x:c>
      <x:c r="F15" s="23" t="str">
        <x:v>過剰なスクロール</x:v>
      </x:c>
      <x:c r="G15" s="27" t="n">
        <x:v>1</x:v>
      </x:c>
      <x:c r="H15" s="43" t="n">
        <x:v>0.0002</x:v>
      </x:c>
    </x:row>
    <x:row r="16">
      <x:c r="A16" s="23" t="str">
        <x:v>premium_data_view</x:v>
      </x:c>
      <x:c r="B16" s="27" t="n">
        <x:v>2598</x:v>
      </x:c>
      <x:c r="C16" s="43" t="n">
        <x:v>0.5652</x:v>
      </x:c>
      <x:c r="F16" s="23" t="str">
        <x:v>クイック バック クリック</x:v>
      </x:c>
      <x:c r="G16" s="27" t="n">
        <x:v>1140</x:v>
      </x:c>
      <x:c r="H16" s="43" t="n">
        <x:v>0.248</x:v>
      </x:c>
    </x:row>
    <x:row r="17">
      <x:c r="A17" s="23" t="str">
        <x:v>prediction_table_view</x:v>
      </x:c>
      <x:c r="B17" s="27" t="n">
        <x:v>2435</x:v>
      </x:c>
      <x:c r="C17" s="43" t="n">
        <x:v>0.5297</x:v>
      </x:c>
      <x:c r="F17" s="23" t="str"/>
      <x:c r="G17" s="27" t="n">
        <x:v>0</x:v>
      </x:c>
      <x:c r="H17" s="43" t="n">
        <x:v>0</x:v>
      </x:c>
    </x:row>
    <x:row r="18">
      <x:c r="A18" s="23" t="str">
        <x:v>race_navigation</x:v>
      </x:c>
      <x:c r="B18" s="27" t="n">
        <x:v>1615</x:v>
      </x:c>
      <x:c r="C18" s="43" t="n">
        <x:v>0.3513</x:v>
      </x:c>
    </x:row>
    <x:row r="19">
      <x:c r="A19" s="23" t="str">
        <x:v>ad_viewable_custom</x:v>
      </x:c>
      <x:c r="B19" s="27" t="n">
        <x:v>1237</x:v>
      </x:c>
      <x:c r="C19" s="43" t="n">
        <x:v>0.2691</x:v>
      </x:c>
    </x:row>
    <x:row r="20">
      <x:c r="A20" s="23" t="str">
        <x:v>race_venue_select</x:v>
      </x:c>
      <x:c r="B20" s="27" t="n">
        <x:v>1028</x:v>
      </x:c>
      <x:c r="C20" s="43" t="n">
        <x:v>0.2236</x:v>
      </x:c>
    </x:row>
    <x:row r="21">
      <x:c r="A21" s="23" t="str">
        <x:v>home_race_entry_click</x:v>
      </x:c>
      <x:c r="B21" s="27" t="n">
        <x:v>971</x:v>
      </x:c>
      <x:c r="C21" s="43" t="n">
        <x:v>0.2112</x:v>
      </x:c>
    </x:row>
    <x:row r="22">
      <x:c r="A22" s="23" t="str">
        <x:v>article_read_complete</x:v>
      </x:c>
      <x:c r="B22" s="27" t="n">
        <x:v>791</x:v>
      </x:c>
      <x:c r="C22" s="43" t="n">
        <x:v>0.1721</x:v>
      </x:c>
    </x:row>
    <x:row r="23">
      <x:c r="A23" s="23" t="str">
        <x:v>race_group_select</x:v>
      </x:c>
      <x:c r="B23" s="27" t="n">
        <x:v>211</x:v>
      </x:c>
      <x:c r="C23" s="43" t="n">
        <x:v>0.045899999999999996</x:v>
      </x:c>
    </x:row>
    <x:row r="24">
      <x:c r="A24" s="23" t="str">
        <x:v>adsense_offerwall_view</x:v>
      </x:c>
      <x:c r="B24" s="27" t="n">
        <x:v>85</x:v>
      </x:c>
      <x:c r="C24" s="43" t="n">
        <x:v>0.018500000000000003</x:v>
      </x:c>
    </x:row>
    <x:row r="25">
      <x:c r="A25" s="23" t="str">
        <x:v>data_entity_view</x:v>
      </x:c>
      <x:c r="B25" s="27" t="n">
        <x:v>34</x:v>
      </x:c>
      <x:c r="C25" s="43" t="n">
        <x:v>0.0074</x:v>
      </x:c>
    </x:row>
    <x:row r="26">
      <x:c r="A26" s="23" t="str">
        <x:v>article_race_click</x:v>
      </x:c>
      <x:c r="B26" s="27" t="n">
        <x:v>19</x:v>
      </x:c>
      <x:c r="C26" s="43" t="n">
        <x:v>0.0040999999999999995</x:v>
      </x:c>
    </x:row>
    <x:row r="27">
      <x:c r="A27" s="23" t="str">
        <x:v>アウトバウンド クリック</x:v>
      </x:c>
      <x:c r="B27" s="27" t="n">
        <x:v>12</x:v>
      </x:c>
      <x:c r="C27" s="43" t="n">
        <x:v>0.0026</x:v>
      </x:c>
    </x:row>
    <x:row r="28">
      <x:c r="A28" s="23" t="str">
        <x:v>affiliate_click</x:v>
      </x:c>
      <x:c r="B28" s="27" t="n">
        <x:v>11</x:v>
      </x:c>
      <x:c r="C28" s="43" t="n">
        <x:v>0.0024</x:v>
      </x:c>
    </x:row>
    <x:row r="29">
      <x:c r="A29" s="23" t="str">
        <x:v>フォームの送信</x:v>
      </x:c>
      <x:c r="B29" s="27" t="n">
        <x:v>9</x:v>
      </x:c>
      <x:c r="C29" s="43" t="n">
        <x:v>0.002</x:v>
      </x:c>
    </x:row>
    <x:row r="30">
      <x:c r="A30" s="23" t="str">
        <x:v>検索</x:v>
      </x:c>
      <x:c r="B30" s="27" t="n">
        <x:v>8</x:v>
      </x:c>
      <x:c r="C30" s="43" t="n">
        <x:v>0.0017000000000000001</x:v>
      </x:c>
    </x:row>
    <x:row r="31">
      <x:c r="A31" s="23" t="str">
        <x:v>horse_compare</x:v>
      </x:c>
      <x:c r="B31" s="27" t="n">
        <x:v>5</x:v>
      </x:c>
      <x:c r="C31" s="43" t="n">
        <x:v>0.0011</x:v>
      </x:c>
    </x:row>
    <x:row r="32">
      <x:c r="A32" s="23" t="str">
        <x:v>お問い合わせ</x:v>
      </x:c>
      <x:c r="B32" s="27" t="n">
        <x:v>3</x:v>
      </x:c>
      <x:c r="C32" s="43" t="n">
        <x:v>0.0007000000000000001</x:v>
      </x:c>
    </x:row>
    <x:row r="33">
      <x:c r="A33" s="23" t="str">
        <x:v>data_hub_action_click</x:v>
      </x:c>
      <x:c r="B33" s="27" t="n">
        <x:v>3</x:v>
      </x:c>
      <x:c r="C33" s="43" t="n">
        <x:v>0.0007000000000000001</x:v>
      </x:c>
    </x:row>
    <x:row r="34">
      <x:c r="A34" s="23" t="str">
        <x:v>compare_result_view</x:v>
      </x:c>
      <x:c r="B34" s="27" t="n">
        <x:v>2</x:v>
      </x:c>
      <x:c r="C34" s="43" t="n">
        <x:v>0.0004</x:v>
      </x:c>
    </x:row>
    <x:row r="35">
      <x:c r="A35" s="23" t="str">
        <x:v>data_favorite</x:v>
      </x:c>
      <x:c r="B35" s="27" t="n">
        <x:v>2</x:v>
      </x:c>
      <x:c r="C35" s="43" t="n">
        <x:v>0.0004</x:v>
      </x:c>
    </x:row>
    <x:row r="36">
      <x:c r="A36" s="23" t="str">
        <x:v>data_search</x:v>
      </x:c>
      <x:c r="B36" s="27" t="n">
        <x:v>2</x:v>
      </x:c>
      <x:c r="C36" s="43" t="n">
        <x:v>0.0004</x:v>
      </x:c>
    </x:row>
    <x:row r="37">
      <x:c r="A37" s="23" t="str">
        <x:v>ad_experiment_exposure</x:v>
      </x:c>
      <x:c r="B37" s="27" t="n">
        <x:v>1</x:v>
      </x:c>
      <x:c r="C37" s="43" t="n">
        <x:v>0.0002</x:v>
      </x:c>
    </x:row>
  </x:sheetData>
  <x:mergeCells>
    <x:mergeCell ref="A1:I1"/>
    <x:mergeCell ref="A2:I2"/>
    <x:mergeCell ref="A4:I4"/>
    <x:mergeCell ref="A11:C11"/>
    <x:mergeCell ref="F11:H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4" hidden="0" customWidth="1"/>
    <x:col min="6" max="6" width="10" hidden="0" customWidth="1"/>
    <x:col min="7" max="7" width="14" hidden="0" customWidth="1"/>
    <x:col min="8" max="8" width="4" hidden="0" customWidth="1"/>
    <x:col min="9" max="9" width="4" hidden="0" customWidth="1"/>
    <x:col min="10" max="10" width="4" hidden="0" customWidth="1"/>
  </x:cols>
  <x:sheetData>
    <x:row r="1" ht="34" customHeight="1">
      <x:c r="A1" s="3" t="str">
        <x:v>楽天リンクシェア・適格化</x:v>
      </x:c>
      <x:c r="B1" s="3" t="str">
        <x:v>楽天リンクシェア・適格化</x:v>
      </x:c>
      <x:c r="C1" s="3" t="str">
        <x:v>楽天リンクシェア・適格化</x:v>
      </x:c>
      <x:c r="D1" s="3" t="str">
        <x:v>楽天リンクシェア・適格化</x:v>
      </x:c>
      <x:c r="E1" s="3" t="str">
        <x:v>楽天リンクシェア・適格化</x:v>
      </x:c>
      <x:c r="F1" s="3" t="str">
        <x:v>楽天リンクシェア・適格化</x:v>
      </x:c>
      <x:c r="G1" s="3" t="str">
        <x:v>楽天リンクシェア・適格化</x:v>
      </x:c>
      <x:c r="H1" s="3" t="str">
        <x:v>楽天リンクシェア・適格化</x:v>
      </x:c>
      <x:c r="I1" s="3" t="str">
        <x:v>楽天リンクシェア・適格化</x:v>
      </x:c>
      <x:c r="J1" s="3" t="str">
        <x:v>楽天リンクシェア・適格化</x:v>
      </x:c>
    </x:row>
    <x:row r="2" ht="28" customHeight="1">
      <x:c r="A2" s="7" t="str">
        <x:v>TrafficGate外部クリックとClarityイベントは定義・期間・リンク単位を一致させるまで直接比較しない</x:v>
      </x:c>
      <x:c r="B2" s="7" t="str">
        <x:v>TrafficGate外部クリックとClarityイベントは定義・期間・リンク単位を一致させるまで直接比較しない</x:v>
      </x:c>
      <x:c r="C2" s="7" t="str">
        <x:v>TrafficGate外部クリックとClarityイベントは定義・期間・リンク単位を一致させるまで直接比較しない</x:v>
      </x:c>
      <x:c r="D2" s="7" t="str">
        <x:v>TrafficGate外部クリックとClarityイベントは定義・期間・リンク単位を一致させるまで直接比較しない</x:v>
      </x:c>
      <x:c r="E2" s="7" t="str">
        <x:v>TrafficGate外部クリックとClarityイベントは定義・期間・リンク単位を一致させるまで直接比較しない</x:v>
      </x:c>
      <x:c r="F2" s="7" t="str">
        <x:v>TrafficGate外部クリックとClarityイベントは定義・期間・リンク単位を一致させるまで直接比較しない</x:v>
      </x:c>
      <x:c r="G2" s="7" t="str">
        <x:v>TrafficGate外部クリックとClarityイベントは定義・期間・リンク単位を一致させるまで直接比較しない</x:v>
      </x:c>
      <x:c r="H2" s="7" t="str">
        <x:v>TrafficGate外部クリックとClarityイベントは定義・期間・リンク単位を一致させるまで直接比較しない</x:v>
      </x:c>
      <x:c r="I2" s="7" t="str">
        <x:v>TrafficGate外部クリックとClarityイベントは定義・期間・リンク単位を一致させるまで直接比較しない</x:v>
      </x:c>
      <x:c r="J2" s="7" t="str">
        <x:v>TrafficGate外部クリックとClarityイベントは定義・期間・リンク単位を一致させるまで直接比較しない</x:v>
      </x:c>
    </x:row>
    <x:row r="4" ht="24" customHeight="1">
      <x:c r="A4" s="41" t="str">
        <x:v>全期間基準</x:v>
      </x:c>
      <x:c r="B4" s="41" t="str">
        <x:v>全期間基準</x:v>
      </x:c>
      <x:c r="C4" s="41" t="str">
        <x:v>全期間基準</x:v>
      </x:c>
      <x:c r="D4" s="41" t="str">
        <x:v>全期間基準</x:v>
      </x:c>
      <x:c r="E4" s="41" t="str">
        <x:v>全期間基準</x:v>
      </x:c>
      <x:c r="F4" s="41" t="str">
        <x:v>全期間基準</x:v>
      </x:c>
      <x:c r="G4" s="41" t="str">
        <x:v>全期間基準</x:v>
      </x:c>
      <x:c r="H4" s="41" t="str">
        <x:v>全期間基準</x:v>
      </x:c>
      <x:c r="I4" s="41" t="str">
        <x:v>全期間基準</x:v>
      </x:c>
      <x:c r="J4" s="41" t="str">
        <x:v>全期間基準</x:v>
      </x:c>
    </x:row>
    <x:row r="5" ht="26" customHeight="1">
      <x:c r="A5" s="16" t="str">
        <x:v>指標</x:v>
      </x:c>
      <x:c r="B5" s="17" t="str">
        <x:v>値</x:v>
      </x:c>
      <x:c r="C5" s="18" t="str">
        <x:v>判定</x:v>
      </x:c>
    </x:row>
    <x:row r="6">
      <x:c r="A6" s="22" t="str">
        <x:v>TrafficGateクリック</x:v>
      </x:c>
      <x:c r="B6" s="26" t="n">
        <x:v>517</x:v>
      </x:c>
      <x:c r="C6" s="22" t="str">
        <x:v>外部レポート</x:v>
      </x:c>
    </x:row>
    <x:row r="7">
      <x:c r="A7" s="23" t="str">
        <x:v>発生件数</x:v>
      </x:c>
      <x:c r="B7" s="27" t="n">
        <x:v>0</x:v>
      </x:c>
      <x:c r="C7" s="23" t="str">
        <x:v>成果0</x:v>
      </x:c>
    </x:row>
    <x:row r="8">
      <x:c r="A8" s="23" t="str">
        <x:v>確定件数</x:v>
      </x:c>
      <x:c r="B8" s="27" t="n">
        <x:v>0</x:v>
      </x:c>
      <x:c r="C8" s="23" t="str">
        <x:v>成果0</x:v>
      </x:c>
    </x:row>
    <x:row r="9">
      <x:c r="A9" s="23" t="str">
        <x:v>Clarity affiliate_click session</x:v>
      </x:c>
      <x:c r="B9" s="27" t="n">
        <x:v>11</x:v>
      </x:c>
      <x:c r="C9" s="23" t="str">
        <x:v>サイト内イベント</x:v>
      </x:c>
    </x:row>
    <x:row r="10">
      <x:c r="A10" s="23" t="str">
        <x:v>外部/Clarity差</x:v>
      </x:c>
      <x:c r="B10" s="27" t="n">
        <x:f>B6-B9</x:f>
        <x:v>506</x:v>
      </x:c>
      <x:c r="C10" s="23" t="str">
        <x:v>数式。定義差を示すだけ</x:v>
      </x:c>
    </x:row>
    <x:row r="11">
      <x:c r="A11" s="23" t="str">
        <x:v>発生率</x:v>
      </x:c>
      <x:c r="B11" s="43" t="n">
        <x:f>IFERROR(B7/B6,0)</x:f>
        <x:v>0</x:v>
      </x:c>
      <x:c r="C11" s="23" t="str">
        <x:v>発生件数/外部クリック</x:v>
      </x:c>
    </x:row>
    <x:row r="13" ht="24" customHeight="1">
      <x:c r="A13" s="41" t="str">
        <x:v>日次</x:v>
      </x:c>
      <x:c r="B13" s="41" t="str">
        <x:v>日次</x:v>
      </x:c>
      <x:c r="C13" s="41" t="str">
        <x:v>日次</x:v>
      </x:c>
      <x:c r="D13" s="41" t="str">
        <x:v>日次</x:v>
      </x:c>
      <x:c r="E13" s="41" t="str">
        <x:v>日次</x:v>
      </x:c>
      <x:c r="F13" s="41" t="str">
        <x:v>日次</x:v>
      </x:c>
      <x:c r="G13" s="41" t="str">
        <x:v>日次</x:v>
      </x:c>
      <x:c r="H13" s="41" t="str">
        <x:v>日次</x:v>
      </x:c>
      <x:c r="I13" s="41" t="str">
        <x:v>日次</x:v>
      </x:c>
      <x:c r="J13" s="41" t="str">
        <x:v>日次</x:v>
      </x:c>
    </x:row>
    <x:row r="14" ht="26" customHeight="1">
      <x:c r="A14" s="65" t="str">
        <x:v>日付</x:v>
      </x:c>
      <x:c r="B14" s="66" t="str">
        <x:v>表示</x:v>
      </x:c>
      <x:c r="C14" s="66" t="str">
        <x:v>クリック</x:v>
      </x:c>
      <x:c r="D14" s="66" t="str">
        <x:v>発生</x:v>
      </x:c>
      <x:c r="E14" s="66" t="str">
        <x:v>発生金額</x:v>
      </x:c>
      <x:c r="F14" s="66" t="str">
        <x:v>確定</x:v>
      </x:c>
      <x:c r="G14" s="67" t="str">
        <x:v>確定金額</x:v>
      </x:c>
    </x:row>
    <x:row r="15">
      <x:c r="A15" s="28" t="n">
        <x:v>46204</x:v>
      </x:c>
      <x:c r="B15" s="26" t="n">
        <x:v>0</x:v>
      </x:c>
      <x:c r="C15" s="26" t="n">
        <x:v>10</x:v>
      </x:c>
      <x:c r="D15" s="26" t="n">
        <x:v>0</x:v>
      </x:c>
      <x:c r="E15" s="30" t="n">
        <x:v>0</x:v>
      </x:c>
      <x:c r="F15" s="26" t="n">
        <x:v>0</x:v>
      </x:c>
      <x:c r="G15" s="30" t="n">
        <x:v>0</x:v>
      </x:c>
    </x:row>
    <x:row r="16">
      <x:c r="A16" s="29" t="n">
        <x:v>46205</x:v>
      </x:c>
      <x:c r="B16" s="27" t="n">
        <x:v>0</x:v>
      </x:c>
      <x:c r="C16" s="27" t="n">
        <x:v>13</x:v>
      </x:c>
      <x:c r="D16" s="27" t="n">
        <x:v>0</x:v>
      </x:c>
      <x:c r="E16" s="31" t="n">
        <x:v>0</x:v>
      </x:c>
      <x:c r="F16" s="27" t="n">
        <x:v>0</x:v>
      </x:c>
      <x:c r="G16" s="31" t="n">
        <x:v>0</x:v>
      </x:c>
    </x:row>
    <x:row r="17">
      <x:c r="A17" s="29" t="n">
        <x:v>46206</x:v>
      </x:c>
      <x:c r="B17" s="27" t="n">
        <x:v>0</x:v>
      </x:c>
      <x:c r="C17" s="27" t="n">
        <x:v>14</x:v>
      </x:c>
      <x:c r="D17" s="27" t="n">
        <x:v>0</x:v>
      </x:c>
      <x:c r="E17" s="31" t="n">
        <x:v>0</x:v>
      </x:c>
      <x:c r="F17" s="27" t="n">
        <x:v>0</x:v>
      </x:c>
      <x:c r="G17" s="31" t="n">
        <x:v>0</x:v>
      </x:c>
    </x:row>
    <x:row r="18">
      <x:c r="A18" s="29" t="n">
        <x:v>46207</x:v>
      </x:c>
      <x:c r="B18" s="27" t="n">
        <x:v>0</x:v>
      </x:c>
      <x:c r="C18" s="27" t="n">
        <x:v>14</x:v>
      </x:c>
      <x:c r="D18" s="27" t="n">
        <x:v>0</x:v>
      </x:c>
      <x:c r="E18" s="31" t="n">
        <x:v>0</x:v>
      </x:c>
      <x:c r="F18" s="27" t="n">
        <x:v>0</x:v>
      </x:c>
      <x:c r="G18" s="31" t="n">
        <x:v>0</x:v>
      </x:c>
    </x:row>
    <x:row r="19">
      <x:c r="A19" s="29" t="n">
        <x:v>46208</x:v>
      </x:c>
      <x:c r="B19" s="27" t="n">
        <x:v>0</x:v>
      </x:c>
      <x:c r="C19" s="27" t="n">
        <x:v>12</x:v>
      </x:c>
      <x:c r="D19" s="27" t="n">
        <x:v>0</x:v>
      </x:c>
      <x:c r="E19" s="31" t="n">
        <x:v>0</x:v>
      </x:c>
      <x:c r="F19" s="27" t="n">
        <x:v>0</x:v>
      </x:c>
      <x:c r="G19" s="31" t="n">
        <x:v>0</x:v>
      </x:c>
    </x:row>
    <x:row r="20">
      <x:c r="A20" s="29" t="n">
        <x:v>46209</x:v>
      </x:c>
      <x:c r="B20" s="27" t="n">
        <x:v>0</x:v>
      </x:c>
      <x:c r="C20" s="27" t="n">
        <x:v>3</x:v>
      </x:c>
      <x:c r="D20" s="27" t="n">
        <x:v>0</x:v>
      </x:c>
      <x:c r="E20" s="31" t="n">
        <x:v>0</x:v>
      </x:c>
      <x:c r="F20" s="27" t="n">
        <x:v>0</x:v>
      </x:c>
      <x:c r="G20" s="31" t="n">
        <x:v>0</x:v>
      </x:c>
    </x:row>
    <x:row r="21">
      <x:c r="A21" s="29" t="n">
        <x:v>46210</x:v>
      </x:c>
      <x:c r="B21" s="27" t="n">
        <x:v>0</x:v>
      </x:c>
      <x:c r="C21" s="27" t="n">
        <x:v>10</x:v>
      </x:c>
      <x:c r="D21" s="27" t="n">
        <x:v>0</x:v>
      </x:c>
      <x:c r="E21" s="31" t="n">
        <x:v>0</x:v>
      </x:c>
      <x:c r="F21" s="27" t="n">
        <x:v>0</x:v>
      </x:c>
      <x:c r="G21" s="31" t="n">
        <x:v>0</x:v>
      </x:c>
    </x:row>
    <x:row r="22">
      <x:c r="A22" s="29" t="n">
        <x:v>46211</x:v>
      </x:c>
      <x:c r="B22" s="27" t="n">
        <x:v>0</x:v>
      </x:c>
      <x:c r="C22" s="27" t="n">
        <x:v>15</x:v>
      </x:c>
      <x:c r="D22" s="27" t="n">
        <x:v>0</x:v>
      </x:c>
      <x:c r="E22" s="31" t="n">
        <x:v>0</x:v>
      </x:c>
      <x:c r="F22" s="27" t="n">
        <x:v>0</x:v>
      </x:c>
      <x:c r="G22" s="31" t="n">
        <x:v>0</x:v>
      </x:c>
    </x:row>
    <x:row r="23">
      <x:c r="A23" s="29" t="n">
        <x:v>46212</x:v>
      </x:c>
      <x:c r="B23" s="27" t="n">
        <x:v>0</x:v>
      </x:c>
      <x:c r="C23" s="27" t="n">
        <x:v>13</x:v>
      </x:c>
      <x:c r="D23" s="27" t="n">
        <x:v>0</x:v>
      </x:c>
      <x:c r="E23" s="31" t="n">
        <x:v>0</x:v>
      </x:c>
      <x:c r="F23" s="27" t="n">
        <x:v>0</x:v>
      </x:c>
      <x:c r="G23" s="31" t="n">
        <x:v>0</x:v>
      </x:c>
    </x:row>
    <x:row r="24">
      <x:c r="A24" s="29" t="n">
        <x:v>46213</x:v>
      </x:c>
      <x:c r="B24" s="27" t="n">
        <x:v>0</x:v>
      </x:c>
      <x:c r="C24" s="27" t="n">
        <x:v>10</x:v>
      </x:c>
      <x:c r="D24" s="27" t="n">
        <x:v>0</x:v>
      </x:c>
      <x:c r="E24" s="31" t="n">
        <x:v>0</x:v>
      </x:c>
      <x:c r="F24" s="27" t="n">
        <x:v>0</x:v>
      </x:c>
      <x:c r="G24" s="31" t="n">
        <x:v>0</x:v>
      </x:c>
    </x:row>
    <x:row r="25">
      <x:c r="A25" s="29" t="n">
        <x:v>46214</x:v>
      </x:c>
      <x:c r="B25" s="27" t="n">
        <x:v>0</x:v>
      </x:c>
      <x:c r="C25" s="27" t="n">
        <x:v>15</x:v>
      </x:c>
      <x:c r="D25" s="27" t="n">
        <x:v>0</x:v>
      </x:c>
      <x:c r="E25" s="31" t="n">
        <x:v>0</x:v>
      </x:c>
      <x:c r="F25" s="27" t="n">
        <x:v>0</x:v>
      </x:c>
      <x:c r="G25" s="31" t="n">
        <x:v>0</x:v>
      </x:c>
    </x:row>
    <x:row r="26">
      <x:c r="A26" s="29" t="n">
        <x:v>46215</x:v>
      </x:c>
      <x:c r="B26" s="27" t="n">
        <x:v>0</x:v>
      </x:c>
      <x:c r="C26" s="27" t="n">
        <x:v>10</x:v>
      </x:c>
      <x:c r="D26" s="27" t="n">
        <x:v>0</x:v>
      </x:c>
      <x:c r="E26" s="31" t="n">
        <x:v>0</x:v>
      </x:c>
      <x:c r="F26" s="27" t="n">
        <x:v>0</x:v>
      </x:c>
      <x:c r="G26" s="31" t="n">
        <x:v>0</x:v>
      </x:c>
    </x:row>
    <x:row r="27">
      <x:c r="A27" s="29" t="n">
        <x:v>46216</x:v>
      </x:c>
      <x:c r="B27" s="27" t="n">
        <x:v>0</x:v>
      </x:c>
      <x:c r="C27" s="27" t="n">
        <x:v>2</x:v>
      </x:c>
      <x:c r="D27" s="27" t="n">
        <x:v>0</x:v>
      </x:c>
      <x:c r="E27" s="31" t="n">
        <x:v>0</x:v>
      </x:c>
      <x:c r="F27" s="27" t="n">
        <x:v>0</x:v>
      </x:c>
      <x:c r="G27" s="31" t="n">
        <x:v>0</x:v>
      </x:c>
    </x:row>
    <x:row r="28">
      <x:c r="A28" s="29" t="n">
        <x:v>46217</x:v>
      </x:c>
      <x:c r="B28" s="27" t="n">
        <x:v>0</x:v>
      </x:c>
      <x:c r="C28" s="27" t="n">
        <x:v>13</x:v>
      </x:c>
      <x:c r="D28" s="27" t="n">
        <x:v>0</x:v>
      </x:c>
      <x:c r="E28" s="31" t="n">
        <x:v>0</x:v>
      </x:c>
      <x:c r="F28" s="27" t="n">
        <x:v>0</x:v>
      </x:c>
      <x:c r="G28" s="31" t="n">
        <x:v>0</x:v>
      </x:c>
    </x:row>
    <x:row r="29">
      <x:c r="A29" s="29" t="n">
        <x:v>46218</x:v>
      </x:c>
      <x:c r="B29" s="27" t="n">
        <x:v>0</x:v>
      </x:c>
      <x:c r="C29" s="27" t="n">
        <x:v>16</x:v>
      </x:c>
      <x:c r="D29" s="27" t="n">
        <x:v>0</x:v>
      </x:c>
      <x:c r="E29" s="31" t="n">
        <x:v>0</x:v>
      </x:c>
      <x:c r="F29" s="27" t="n">
        <x:v>0</x:v>
      </x:c>
      <x:c r="G29" s="31" t="n">
        <x:v>0</x:v>
      </x:c>
    </x:row>
    <x:row r="30">
      <x:c r="A30" s="29" t="n">
        <x:v>46219</x:v>
      </x:c>
      <x:c r="B30" s="27" t="n">
        <x:v>0</x:v>
      </x:c>
      <x:c r="C30" s="27" t="n">
        <x:v>11</x:v>
      </x:c>
      <x:c r="D30" s="27" t="n">
        <x:v>0</x:v>
      </x:c>
      <x:c r="E30" s="31" t="n">
        <x:v>0</x:v>
      </x:c>
      <x:c r="F30" s="27" t="n">
        <x:v>0</x:v>
      </x:c>
      <x:c r="G30" s="31" t="n">
        <x:v>0</x:v>
      </x:c>
    </x:row>
    <x:row r="31">
      <x:c r="A31" s="29" t="n">
        <x:v>46220</x:v>
      </x:c>
      <x:c r="B31" s="27" t="n">
        <x:v>0</x:v>
      </x:c>
      <x:c r="C31" s="27" t="n">
        <x:v>19</x:v>
      </x:c>
      <x:c r="D31" s="27" t="n">
        <x:v>0</x:v>
      </x:c>
      <x:c r="E31" s="31" t="n">
        <x:v>0</x:v>
      </x:c>
      <x:c r="F31" s="27" t="n">
        <x:v>0</x:v>
      </x:c>
      <x:c r="G31" s="31" t="n">
        <x:v>0</x:v>
      </x:c>
    </x:row>
    <x:row r="32">
      <x:c r="A32" s="29" t="n">
        <x:v>46221</x:v>
      </x:c>
      <x:c r="B32" s="27" t="n">
        <x:v>0</x:v>
      </x:c>
      <x:c r="C32" s="27" t="n">
        <x:v>23</x:v>
      </x:c>
      <x:c r="D32" s="27" t="n">
        <x:v>0</x:v>
      </x:c>
      <x:c r="E32" s="31" t="n">
        <x:v>0</x:v>
      </x:c>
      <x:c r="F32" s="27" t="n">
        <x:v>0</x:v>
      </x:c>
      <x:c r="G32" s="31" t="n">
        <x:v>0</x:v>
      </x:c>
    </x:row>
    <x:row r="33">
      <x:c r="A33" s="29" t="n">
        <x:v>46222</x:v>
      </x:c>
      <x:c r="B33" s="27" t="n">
        <x:v>0</x:v>
      </x:c>
      <x:c r="C33" s="27" t="n">
        <x:v>14</x:v>
      </x:c>
      <x:c r="D33" s="27" t="n">
        <x:v>0</x:v>
      </x:c>
      <x:c r="E33" s="31" t="n">
        <x:v>0</x:v>
      </x:c>
      <x:c r="F33" s="27" t="n">
        <x:v>0</x:v>
      </x:c>
      <x:c r="G33" s="31" t="n">
        <x:v>0</x:v>
      </x:c>
    </x:row>
    <x:row r="34">
      <x:c r="A34" s="29" t="n">
        <x:v>46223</x:v>
      </x:c>
      <x:c r="B34" s="27" t="n">
        <x:v>0</x:v>
      </x:c>
      <x:c r="C34" s="27" t="n">
        <x:v>12</x:v>
      </x:c>
      <x:c r="D34" s="27" t="n">
        <x:v>0</x:v>
      </x:c>
      <x:c r="E34" s="31" t="n">
        <x:v>0</x:v>
      </x:c>
      <x:c r="F34" s="27" t="n">
        <x:v>0</x:v>
      </x:c>
      <x:c r="G34" s="31" t="n">
        <x:v>0</x:v>
      </x:c>
    </x:row>
    <x:row r="35">
      <x:c r="A35" s="29" t="n">
        <x:v>46224</x:v>
      </x:c>
      <x:c r="B35" s="27" t="n">
        <x:v>0</x:v>
      </x:c>
      <x:c r="C35" s="27" t="n">
        <x:v>15</x:v>
      </x:c>
      <x:c r="D35" s="27" t="n">
        <x:v>0</x:v>
      </x:c>
      <x:c r="E35" s="31" t="n">
        <x:v>0</x:v>
      </x:c>
      <x:c r="F35" s="27" t="n">
        <x:v>0</x:v>
      </x:c>
      <x:c r="G35" s="31" t="n">
        <x:v>0</x:v>
      </x:c>
    </x:row>
    <x:row r="36">
      <x:c r="A36" s="29" t="n">
        <x:v>46225</x:v>
      </x:c>
      <x:c r="B36" s="27" t="n">
        <x:v>0</x:v>
      </x:c>
      <x:c r="C36" s="27" t="n">
        <x:v>16</x:v>
      </x:c>
      <x:c r="D36" s="27" t="n">
        <x:v>0</x:v>
      </x:c>
      <x:c r="E36" s="31" t="n">
        <x:v>0</x:v>
      </x:c>
      <x:c r="F36" s="27" t="n">
        <x:v>0</x:v>
      </x:c>
      <x:c r="G36" s="31" t="n">
        <x:v>0</x:v>
      </x:c>
    </x:row>
    <x:row r="37">
      <x:c r="A37" s="29" t="n">
        <x:v>46226</x:v>
      </x:c>
      <x:c r="B37" s="27" t="n">
        <x:v>0</x:v>
      </x:c>
      <x:c r="C37" s="27" t="n">
        <x:v>22</x:v>
      </x:c>
      <x:c r="D37" s="27" t="n">
        <x:v>0</x:v>
      </x:c>
      <x:c r="E37" s="31" t="n">
        <x:v>0</x:v>
      </x:c>
      <x:c r="F37" s="27" t="n">
        <x:v>0</x:v>
      </x:c>
      <x:c r="G37" s="31" t="n">
        <x:v>0</x:v>
      </x:c>
    </x:row>
    <x:row r="38">
      <x:c r="A38" s="29" t="n">
        <x:v>46227</x:v>
      </x:c>
      <x:c r="B38" s="27" t="n">
        <x:v>0</x:v>
      </x:c>
      <x:c r="C38" s="27" t="n">
        <x:v>21</x:v>
      </x:c>
      <x:c r="D38" s="27" t="n">
        <x:v>0</x:v>
      </x:c>
      <x:c r="E38" s="31" t="n">
        <x:v>0</x:v>
      </x:c>
      <x:c r="F38" s="27" t="n">
        <x:v>0</x:v>
      </x:c>
      <x:c r="G38" s="31" t="n">
        <x:v>0</x:v>
      </x:c>
    </x:row>
    <x:row r="39">
      <x:c r="A39" s="29" t="n">
        <x:v>46228</x:v>
      </x:c>
      <x:c r="B39" s="27" t="n">
        <x:v>0</x:v>
      </x:c>
      <x:c r="C39" s="27" t="n">
        <x:v>44</x:v>
      </x:c>
      <x:c r="D39" s="27" t="n">
        <x:v>0</x:v>
      </x:c>
      <x:c r="E39" s="31" t="n">
        <x:v>0</x:v>
      </x:c>
      <x:c r="F39" s="27" t="n">
        <x:v>0</x:v>
      </x:c>
      <x:c r="G39" s="31" t="n">
        <x:v>0</x:v>
      </x:c>
    </x:row>
    <x:row r="40">
      <x:c r="A40" s="29" t="n">
        <x:v>46229</x:v>
      </x:c>
      <x:c r="B40" s="27" t="n">
        <x:v>0</x:v>
      </x:c>
      <x:c r="C40" s="27" t="n">
        <x:v>25</x:v>
      </x:c>
      <x:c r="D40" s="27" t="n">
        <x:v>0</x:v>
      </x:c>
      <x:c r="E40" s="31" t="n">
        <x:v>0</x:v>
      </x:c>
      <x:c r="F40" s="27" t="n">
        <x:v>0</x:v>
      </x:c>
      <x:c r="G40" s="31" t="n">
        <x:v>0</x:v>
      </x:c>
    </x:row>
    <x:row r="41">
      <x:c r="A41" s="29" t="n">
        <x:v>46230</x:v>
      </x:c>
      <x:c r="B41" s="27" t="n">
        <x:v>0</x:v>
      </x:c>
      <x:c r="C41" s="27" t="n">
        <x:v>5</x:v>
      </x:c>
      <x:c r="D41" s="27" t="n">
        <x:v>0</x:v>
      </x:c>
      <x:c r="E41" s="31" t="n">
        <x:v>0</x:v>
      </x:c>
      <x:c r="F41" s="27" t="n">
        <x:v>0</x:v>
      </x:c>
      <x:c r="G41" s="31" t="n">
        <x:v>0</x:v>
      </x:c>
    </x:row>
    <x:row r="42">
      <x:c r="A42" s="29" t="n">
        <x:v>46231</x:v>
      </x:c>
      <x:c r="B42" s="27" t="n">
        <x:v>0</x:v>
      </x:c>
      <x:c r="C42" s="27" t="n">
        <x:v>22</x:v>
      </x:c>
      <x:c r="D42" s="27" t="n">
        <x:v>0</x:v>
      </x:c>
      <x:c r="E42" s="31" t="n">
        <x:v>0</x:v>
      </x:c>
      <x:c r="F42" s="27" t="n">
        <x:v>0</x:v>
      </x:c>
      <x:c r="G42" s="31" t="n">
        <x:v>0</x:v>
      </x:c>
    </x:row>
    <x:row r="43">
      <x:c r="A43" s="29" t="n">
        <x:v>46232</x:v>
      </x:c>
      <x:c r="B43" s="27" t="n">
        <x:v>0</x:v>
      </x:c>
      <x:c r="C43" s="27" t="n">
        <x:v>13</x:v>
      </x:c>
      <x:c r="D43" s="27" t="n">
        <x:v>0</x:v>
      </x:c>
      <x:c r="E43" s="31" t="n">
        <x:v>0</x:v>
      </x:c>
      <x:c r="F43" s="27" t="n">
        <x:v>0</x:v>
      </x:c>
      <x:c r="G43" s="31" t="n">
        <x:v>0</x:v>
      </x:c>
    </x:row>
    <x:row r="44">
      <x:c r="A44" s="29" t="n">
        <x:v>46233</x:v>
      </x:c>
      <x:c r="B44" s="27" t="n">
        <x:v>0</x:v>
      </x:c>
      <x:c r="C44" s="27" t="n">
        <x:v>16</x:v>
      </x:c>
      <x:c r="D44" s="27" t="n">
        <x:v>0</x:v>
      </x:c>
      <x:c r="E44" s="31" t="n">
        <x:v>0</x:v>
      </x:c>
      <x:c r="F44" s="27" t="n">
        <x:v>0</x:v>
      </x:c>
      <x:c r="G44" s="31" t="n">
        <x:v>0</x:v>
      </x:c>
    </x:row>
    <x:row r="45">
      <x:c r="A45" s="29" t="n">
        <x:v>46234</x:v>
      </x:c>
      <x:c r="B45" s="27" t="n">
        <x:v>0</x:v>
      </x:c>
      <x:c r="C45" s="27" t="n">
        <x:v>16</x:v>
      </x:c>
      <x:c r="D45" s="27" t="n">
        <x:v>0</x:v>
      </x:c>
      <x:c r="E45" s="31" t="n">
        <x:v>0</x:v>
      </x:c>
      <x:c r="F45" s="27" t="n">
        <x:v>0</x:v>
      </x:c>
      <x:c r="G45" s="31" t="n">
        <x:v>0</x:v>
      </x:c>
    </x:row>
    <x:row r="46">
      <x:c r="A46" s="29" t="n">
        <x:v>46235</x:v>
      </x:c>
      <x:c r="B46" s="27" t="n">
        <x:v>0</x:v>
      </x:c>
      <x:c r="C46" s="27" t="n">
        <x:v>31</x:v>
      </x:c>
      <x:c r="D46" s="27" t="n">
        <x:v>0</x:v>
      </x:c>
      <x:c r="E46" s="31" t="n">
        <x:v>0</x:v>
      </x:c>
      <x:c r="F46" s="27" t="n">
        <x:v>0</x:v>
      </x:c>
      <x:c r="G46" s="31" t="n">
        <x:v>0</x:v>
      </x:c>
    </x:row>
    <x:row r="47">
      <x:c r="A47" s="29" t="n">
        <x:v>46236</x:v>
      </x:c>
      <x:c r="B47" s="27" t="n">
        <x:v>0</x:v>
      </x:c>
      <x:c r="C47" s="27" t="n">
        <x:v>22</x:v>
      </x:c>
      <x:c r="D47" s="27" t="n">
        <x:v>0</x:v>
      </x:c>
      <x:c r="E47" s="31" t="n">
        <x:v>0</x:v>
      </x:c>
      <x:c r="F47" s="27" t="n">
        <x:v>0</x:v>
      </x:c>
      <x:c r="G47" s="31" t="n">
        <x:v>0</x:v>
      </x:c>
    </x:row>
    <x:row r="48">
      <x:c r="A48" s="29" t="n">
        <x:v>46237</x:v>
      </x:c>
      <x:c r="B48" s="27" t="n">
        <x:v>0</x:v>
      </x:c>
      <x:c r="C48" s="27" t="n">
        <x:v>0</x:v>
      </x:c>
      <x:c r="D48" s="27" t="n">
        <x:v>0</x:v>
      </x:c>
      <x:c r="E48" s="31" t="n">
        <x:v>0</x:v>
      </x:c>
      <x:c r="F48" s="27" t="n">
        <x:v>0</x:v>
      </x:c>
      <x:c r="G48" s="31" t="n">
        <x:v>0</x:v>
      </x:c>
    </x:row>
  </x:sheetData>
  <x:mergeCells>
    <x:mergeCell ref="A1:J1"/>
    <x:mergeCell ref="A2:J2"/>
    <x:mergeCell ref="A4:J4"/>
    <x:mergeCell ref="A13:J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3" hidden="0" customWidth="1"/>
    <x:col min="4" max="4" width="10" hidden="0" customWidth="1"/>
    <x:col min="5" max="5" width="10" hidden="0" customWidth="1"/>
    <x:col min="6" max="6" width="14" hidden="0" customWidth="1"/>
    <x:col min="7" max="7" width="30" hidden="0" customWidth="1"/>
    <x:col min="8" max="8" width="30" hidden="0" customWidth="1"/>
    <x:col min="9" max="9" width="26" hidden="0" customWidth="1"/>
    <x:col min="10" max="10" width="4" hidden="0" customWidth="1"/>
  </x:cols>
  <x:sheetData>
    <x:row r="1" ht="34" customHeight="1">
      <x:c r="A1" s="3" t="str">
        <x:v>施策優先度・実験ゲート</x:v>
      </x:c>
      <x:c r="B1" s="3" t="str">
        <x:v>施策優先度・実験ゲート</x:v>
      </x:c>
      <x:c r="C1" s="3" t="str">
        <x:v>施策優先度・実験ゲート</x:v>
      </x:c>
      <x:c r="D1" s="3" t="str">
        <x:v>施策優先度・実験ゲート</x:v>
      </x:c>
      <x:c r="E1" s="3" t="str">
        <x:v>施策優先度・実験ゲート</x:v>
      </x:c>
      <x:c r="F1" s="3" t="str">
        <x:v>施策優先度・実験ゲート</x:v>
      </x:c>
      <x:c r="G1" s="3" t="str">
        <x:v>施策優先度・実験ゲート</x:v>
      </x:c>
      <x:c r="H1" s="3" t="str">
        <x:v>施策優先度・実験ゲート</x:v>
      </x:c>
      <x:c r="I1" s="3" t="str">
        <x:v>施策優先度・実験ゲート</x:v>
      </x:c>
      <x:c r="J1" s="3" t="str">
        <x:v>施策優先度・実験ゲート</x:v>
      </x:c>
    </x:row>
    <x:row r="2" ht="28" customHeight="1">
      <x:c r="A2" s="7" t="str">
        <x:v>効果の大きさだけでなく、計測前提・重複禁止・復元条件を含めて管理</x:v>
      </x:c>
      <x:c r="B2" s="7" t="str">
        <x:v>効果の大きさだけでなく、計測前提・重複禁止・復元条件を含めて管理</x:v>
      </x:c>
      <x:c r="C2" s="7" t="str">
        <x:v>効果の大きさだけでなく、計測前提・重複禁止・復元条件を含めて管理</x:v>
      </x:c>
      <x:c r="D2" s="7" t="str">
        <x:v>効果の大きさだけでなく、計測前提・重複禁止・復元条件を含めて管理</x:v>
      </x:c>
      <x:c r="E2" s="7" t="str">
        <x:v>効果の大きさだけでなく、計測前提・重複禁止・復元条件を含めて管理</x:v>
      </x:c>
      <x:c r="F2" s="7" t="str">
        <x:v>効果の大きさだけでなく、計測前提・重複禁止・復元条件を含めて管理</x:v>
      </x:c>
      <x:c r="G2" s="7" t="str">
        <x:v>効果の大きさだけでなく、計測前提・重複禁止・復元条件を含めて管理</x:v>
      </x:c>
      <x:c r="H2" s="7" t="str">
        <x:v>効果の大きさだけでなく、計測前提・重複禁止・復元条件を含めて管理</x:v>
      </x:c>
      <x:c r="I2" s="7" t="str">
        <x:v>効果の大きさだけでなく、計測前提・重複禁止・復元条件を含めて管理</x:v>
      </x:c>
      <x:c r="J2" s="7" t="str">
        <x:v>効果の大きさだけでなく、計測前提・重複禁止・復元条件を含めて管理</x:v>
      </x:c>
    </x:row>
    <x:row r="4" ht="26" customHeight="1">
      <x:c r="A4" s="16" t="str">
        <x:v>優先</x:v>
      </x:c>
      <x:c r="B4" s="17" t="str">
        <x:v>施策</x:v>
      </x:c>
      <x:c r="C4" s="17" t="str">
        <x:v>領域</x:v>
      </x:c>
      <x:c r="D4" s="17" t="str">
        <x:v>効果</x:v>
      </x:c>
      <x:c r="E4" s="17" t="str">
        <x:v>難易度</x:v>
      </x:c>
      <x:c r="F4" s="17" t="str">
        <x:v>状態</x:v>
      </x:c>
      <x:c r="G4" s="17" t="str">
        <x:v>開始条件</x:v>
      </x:c>
      <x:c r="H4" s="17" t="str">
        <x:v>判定基準</x:v>
      </x:c>
      <x:c r="I4" s="18" t="str">
        <x:v>復元/注記</x:v>
      </x:c>
    </x:row>
    <x:row r="5" ht="38" customHeight="1">
      <x:c r="A5" s="22" t="n">
        <x:v>1</x:v>
      </x:c>
      <x:c r="B5" s="24" t="str">
        <x:v>GA4–AdSenseリンクとカスタム定義</x:v>
      </x:c>
      <x:c r="C5" s="22" t="str">
        <x:v>計測</x:v>
      </x:c>
      <x:c r="D5" s="22" t="str">
        <x:v>高</x:v>
      </x:c>
      <x:c r="E5" s="22" t="str">
        <x:v>中</x:v>
      </x:c>
      <x:c r="F5" s="22" t="str">
        <x:v>未着手</x:v>
      </x:c>
      <x:c r="G5" s="24" t="str">
        <x:v>管理画面設定後7完全日</x:v>
      </x:c>
      <x:c r="H5" s="24" t="str">
        <x:v>Unassigned/欠損各5%未満</x:v>
      </x:c>
      <x:c r="I5" s="24" t="str">
        <x:v>外部設定手順書</x:v>
      </x:c>
    </x:row>
    <x:row r="6" ht="38" customHeight="1">
      <x:c r="A6" s="23" t="n">
        <x:v>2</x:v>
      </x:c>
      <x:c r="B6" s="25" t="str">
        <x:v>MOBILE-RACE-ENGAGED-AD-2026-08</x:v>
      </x:c>
      <x:c r="C6" s="23" t="str">
        <x:v>広告</x:v>
      </x:c>
      <x:c r="D6" s="23" t="str">
        <x:v>高</x:v>
      </x:c>
      <x:c r="E6" s="23" t="str">
        <x:v>中</x:v>
      </x:c>
      <x:c r="F6" s="23" t="str">
        <x:v>準備済み</x:v>
      </x:c>
      <x:c r="G6" s="25" t="str">
        <x:v>計測ゲート通過後</x:v>
      </x:c>
      <x:c r="H6" s="25" t="str">
        <x:v>14日・各群1,000session</x:v>
      </x:c>
      <x:c r="I6" s="25" t="str">
        <x:v>既存台帳</x:v>
      </x:c>
    </x:row>
    <x:row r="7" ht="38" customHeight="1">
      <x:c r="A7" s="23" t="n">
        <x:v>3</x:v>
      </x:c>
      <x:c r="B7" s="25" t="str">
        <x:v>重賞代表URLの段階更新</x:v>
      </x:c>
      <x:c r="C7" s="23" t="str">
        <x:v>SEO</x:v>
      </x:c>
      <x:c r="D7" s="23" t="str">
        <x:v>高</x:v>
      </x:c>
      <x:c r="E7" s="23" t="str">
        <x:v>高</x:v>
      </x:c>
      <x:c r="F7" s="23" t="str">
        <x:v>継続</x:v>
      </x:c>
      <x:c r="G7" s="25" t="str">
        <x:v>確認済みデータのみ</x:v>
      </x:c>
      <x:c r="H7" s="25" t="str">
        <x:v>機会score・CTR・順位</x:v>
      </x:c>
      <x:c r="I7" s="25" t="str">
        <x:v>GSC監査</x:v>
      </x:c>
    </x:row>
    <x:row r="8" ht="38" customHeight="1">
      <x:c r="A8" s="23" t="n">
        <x:v>4</x:v>
      </x:c>
      <x:c r="B8" s="25" t="str">
        <x:v>記事レースブリッジ</x:v>
      </x:c>
      <x:c r="C8" s="23" t="str">
        <x:v>回遊</x:v>
      </x:c>
      <x:c r="D8" s="23" t="str">
        <x:v>高</x:v>
      </x:c>
      <x:c r="E8" s="23" t="str">
        <x:v>高</x:v>
      </x:c>
      <x:c r="F8" s="23" t="str">
        <x:v>実装のみ</x:v>
      </x:c>
      <x:c r="G8" s="25" t="str">
        <x:v>広告実験終了後</x:v>
      </x:c>
      <x:c r="H8" s="25" t="str">
        <x:v>14日・各群500適格session</x:v>
      </x:c>
      <x:c r="I8" s="25" t="str">
        <x:v>off/split/on</x:v>
      </x:c>
    </x:row>
    <x:row r="9" ht="38" customHeight="1">
      <x:c r="A9" s="23" t="n">
        <x:v>5</x:v>
      </x:c>
      <x:c r="B9" s="25" t="str">
        <x:v>前回レース復帰とPWA計測</x:v>
      </x:c>
      <x:c r="C9" s="23" t="str">
        <x:v>再訪</x:v>
      </x:c>
      <x:c r="D9" s="23" t="str">
        <x:v>中</x:v>
      </x:c>
      <x:c r="E9" s="23" t="str">
        <x:v>低</x:v>
      </x:c>
      <x:c r="F9" s="23" t="str">
        <x:v>実装</x:v>
      </x:c>
      <x:c r="G9" s="25" t="str">
        <x:v>保存/再訪者のみ</x:v>
      </x:c>
      <x:c r="H9" s="25" t="str">
        <x:v>復帰click・install result</x:v>
      </x:c>
      <x:c r="I9" s="25" t="str">
        <x:v>初回表示なし</x:v>
      </x:c>
    </x:row>
    <x:row r="10" ht="38" customHeight="1">
      <x:c r="A10" s="23" t="n">
        <x:v>6</x:v>
      </x:c>
      <x:c r="B10" s="25" t="str">
        <x:v>記事after_body配置順実験</x:v>
      </x:c>
      <x:c r="C10" s="23" t="str">
        <x:v>広告</x:v>
      </x:c>
      <x:c r="D10" s="23" t="str">
        <x:v>中</x:v>
      </x:c>
      <x:c r="E10" s="23" t="str">
        <x:v>中</x:v>
      </x:c>
      <x:c r="F10" s="23" t="str">
        <x:v>実装のみ</x:v>
      </x:c>
      <x:c r="G10" s="25" t="str">
        <x:v>記事ブリッジ終了後</x:v>
      </x:c>
      <x:c r="H10" s="25" t="str">
        <x:v>収益+5%、読了低下&lt;5%</x:v>
      </x:c>
      <x:c r="I10" s="25" t="str">
        <x:v>広告数固定</x:v>
      </x:c>
    </x:row>
    <x:row r="11" ht="38" customHeight="1">
      <x:c r="A11" s="23" t="n">
        <x:v>7</x:v>
      </x:c>
      <x:c r="B11" s="25" t="str">
        <x:v>楽天地方競馬適格化</x:v>
      </x:c>
      <x:c r="C11" s="23" t="str">
        <x:v>affiliate</x:v>
      </x:c>
      <x:c r="D11" s="23" t="str">
        <x:v>中</x:v>
      </x:c>
      <x:c r="E11" s="23" t="str">
        <x:v>中</x:v>
      </x:c>
      <x:c r="F11" s="23" t="str">
        <x:v>保留</x:v>
      </x:c>
      <x:c r="G11" s="25" t="str">
        <x:v>計測定義一致・広告実験終了</x:v>
      </x:c>
      <x:c r="H11" s="25" t="str">
        <x:v>200/400適格click</x:v>
      </x:c>
      <x:c r="I11" s="25" t="str">
        <x:v>成果0なら停止</x:v>
      </x:c>
    </x:row>
    <x:row r="12" ht="38" customHeight="1">
      <x:c r="A12" s="23" t="n">
        <x:v>8</x:v>
      </x:c>
      <x:c r="B12" s="25" t="str">
        <x:v>直接スポンサー媒体資料</x:v>
      </x:c>
      <x:c r="C12" s="23" t="str">
        <x:v>長期</x:v>
      </x:c>
      <x:c r="D12" s="23" t="str">
        <x:v>中</x:v>
      </x:c>
      <x:c r="E12" s="23" t="str">
        <x:v>高</x:v>
      </x:c>
      <x:c r="F12" s="23" t="str">
        <x:v>条件待ち</x:v>
      </x:c>
      <x:c r="G12" s="25" t="str">
        <x:v>月間人間session&gt;10,000</x:v>
      </x:c>
      <x:c r="H12" s="25" t="str">
        <x:v>固定期間・保証なし</x:v>
      </x:c>
      <x:c r="I12" s="25" t="str">
        <x:v>コアデータ外</x:v>
      </x:c>
    </x:row>
  </x:sheetData>
  <x:mergeCells>
    <x:mergeCell ref="A1:J1"/>
    <x:mergeCell ref="A2:J2"/>
  </x:mergeCells>
  <x:conditionalFormatting sqref="A5:A12">
    <x:cfRule type="colorScale" priority="1">
      <x:colorScale>
        <x:cfvo type="min"/>
        <x:cfvo type="percentile" val="50"/>
        <x:cfvo type="max"/>
        <x:color rgb="FFD1FAE5"/>
        <x:color rgb="FFFEF3C7"/>
        <x:color rgb="FFFFE4E6"/>
      </x:colorScale>
    </x:cfRule>
  </x:conditionalFormatting>
  <x:dataValidations count="1">
    <x:dataValidation type="list" sqref="F5:F104">
      <x:formula1>"未着手,準備済み,継続,実装,実装のみ,保留,条件待ち,完了"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4" hidden="0" customWidth="1"/>
    <x:col min="10" max="10" width="4" hidden="0" customWidth="1"/>
  </x:cols>
  <x:sheetData>
    <x:row r="1" ht="34" customHeight="1">
      <x:c r="A1" s="3" t="str">
        <x:v>収益モデル・シナリオ</x:v>
      </x:c>
      <x:c r="B1" s="3" t="str">
        <x:v>収益モデル・シナリオ</x:v>
      </x:c>
      <x:c r="C1" s="3" t="str">
        <x:v>収益モデル・シナリオ</x:v>
      </x:c>
      <x:c r="D1" s="3" t="str">
        <x:v>収益モデル・シナリオ</x:v>
      </x:c>
      <x:c r="E1" s="3" t="str">
        <x:v>収益モデル・シナリオ</x:v>
      </x:c>
      <x:c r="F1" s="3" t="str">
        <x:v>収益モデル・シナリオ</x:v>
      </x:c>
      <x:c r="G1" s="3" t="str">
        <x:v>収益モデル・シナリオ</x:v>
      </x:c>
      <x:c r="H1" s="3" t="str">
        <x:v>収益モデル・シナリオ</x:v>
      </x:c>
      <x:c r="I1" s="3" t="str">
        <x:v>収益モデル・シナリオ</x:v>
      </x:c>
      <x:c r="J1" s="3" t="str">
        <x:v>収益モデル・シナリオ</x:v>
      </x:c>
    </x:row>
    <x:row r="2" ht="28" customHeight="1">
      <x:c r="A2" s="7" t="str">
        <x:v>収益 = 人間session × PV/session × 広告収益/PV。黄色セルは将来更新する入力</x:v>
      </x:c>
      <x:c r="B2" s="7" t="str">
        <x:v>収益 = 人間session × PV/session × 広告収益/PV。黄色セルは将来更新する入力</x:v>
      </x:c>
      <x:c r="C2" s="7" t="str">
        <x:v>収益 = 人間session × PV/session × 広告収益/PV。黄色セルは将来更新する入力</x:v>
      </x:c>
      <x:c r="D2" s="7" t="str">
        <x:v>収益 = 人間session × PV/session × 広告収益/PV。黄色セルは将来更新する入力</x:v>
      </x:c>
      <x:c r="E2" s="7" t="str">
        <x:v>収益 = 人間session × PV/session × 広告収益/PV。黄色セルは将来更新する入力</x:v>
      </x:c>
      <x:c r="F2" s="7" t="str">
        <x:v>収益 = 人間session × PV/session × 広告収益/PV。黄色セルは将来更新する入力</x:v>
      </x:c>
      <x:c r="G2" s="7" t="str">
        <x:v>収益 = 人間session × PV/session × 広告収益/PV。黄色セルは将来更新する入力</x:v>
      </x:c>
      <x:c r="H2" s="7" t="str">
        <x:v>収益 = 人間session × PV/session × 広告収益/PV。黄色セルは将来更新する入力</x:v>
      </x:c>
      <x:c r="I2" s="7" t="str">
        <x:v>収益 = 人間session × PV/session × 広告収益/PV。黄色セルは将来更新する入力</x:v>
      </x:c>
      <x:c r="J2" s="7" t="str">
        <x:v>収益 = 人間session × PV/session × 広告収益/PV。黄色セルは将来更新する入力</x:v>
      </x:c>
    </x:row>
    <x:row r="4" ht="24" customHeight="1">
      <x:c r="A4" s="41" t="str">
        <x:v>基準入力</x:v>
      </x:c>
      <x:c r="B4" s="41" t="str">
        <x:v>基準入力</x:v>
      </x:c>
      <x:c r="C4" s="41" t="str">
        <x:v>基準入力</x:v>
      </x:c>
      <x:c r="D4" s="41" t="str">
        <x:v>基準入力</x:v>
      </x:c>
      <x:c r="E4" s="41" t="str">
        <x:v>基準入力</x:v>
      </x:c>
      <x:c r="F4" s="41" t="str">
        <x:v>基準入力</x:v>
      </x:c>
      <x:c r="G4" s="41" t="str">
        <x:v>基準入力</x:v>
      </x:c>
      <x:c r="H4" s="41" t="str">
        <x:v>基準入力</x:v>
      </x:c>
      <x:c r="I4" s="41" t="str">
        <x:v>基準入力</x:v>
      </x:c>
      <x:c r="J4" s="41" t="str">
        <x:v>基準入力</x:v>
      </x:c>
    </x:row>
    <x:row r="5" ht="26" customHeight="1">
      <x:c r="A5" s="16" t="str">
        <x:v>入力</x:v>
      </x:c>
      <x:c r="B5" s="17" t="str">
        <x:v>値</x:v>
      </x:c>
      <x:c r="C5" s="17" t="str">
        <x:v>単位</x:v>
      </x:c>
      <x:c r="D5" s="18" t="str">
        <x:v>出典</x:v>
      </x:c>
    </x:row>
    <x:row r="6">
      <x:c r="A6" s="22" t="str">
        <x:v>人間session</x:v>
      </x:c>
      <x:c r="B6" s="70" t="n">
        <x:v>4597</x:v>
      </x:c>
      <x:c r="C6" s="22" t="str">
        <x:v>session</x:v>
      </x:c>
      <x:c r="D6" s="22" t="str">
        <x:v>Clarity推定</x:v>
      </x:c>
    </x:row>
    <x:row r="7">
      <x:c r="A7" s="23" t="str">
        <x:v>PV/session</x:v>
      </x:c>
      <x:c r="B7" s="71" t="n">
        <x:v>1.4085</x:v>
      </x:c>
      <x:c r="C7" s="23" t="str">
        <x:v>PV/session</x:v>
      </x:c>
      <x:c r="D7" s="23" t="str">
        <x:v>AdSense PV / Clarity session</x:v>
      </x:c>
    </x:row>
    <x:row r="8">
      <x:c r="A8" s="23" t="str">
        <x:v>広告収益/PV</x:v>
      </x:c>
      <x:c r="B8" s="72" t="n">
        <x:v>0.257297</x:v>
      </x:c>
      <x:c r="C8" s="23" t="str">
        <x:v>JPY/PV</x:v>
      </x:c>
      <x:c r="D8" s="23" t="str">
        <x:v>AdSense</x:v>
      </x:c>
    </x:row>
    <x:row r="9">
      <x:c r="A9" s="23" t="str">
        <x:v>基準収益</x:v>
      </x:c>
      <x:c r="B9" s="31" t="n">
        <x:f>B6*B7*B8</x:f>
        <x:v>1665.9657842265</x:v>
      </x:c>
      <x:c r="C9" s="23" t="str">
        <x:v>JPY</x:v>
      </x:c>
      <x:c r="D9" s="23" t="str">
        <x:v>数式</x:v>
      </x:c>
    </x:row>
    <x:row r="10">
      <x:c r="A10" s="23" t="str">
        <x:v>10,000円に必要なsession</x:v>
      </x:c>
      <x:c r="B10" s="27" t="n">
        <x:f>IFERROR(10000/(B7*B8),0)</x:f>
        <x:v>27593.603923470524</x:v>
      </x:c>
      <x:c r="C10" s="23" t="str">
        <x:v>session</x:v>
      </x:c>
      <x:c r="D10" s="23" t="str">
        <x:v>効率一定の数式</x:v>
      </x:c>
    </x:row>
    <x:row r="12" ht="24" customHeight="1">
      <x:c r="A12" s="41" t="str">
        <x:v>シナリオ</x:v>
      </x:c>
      <x:c r="B12" s="41" t="str">
        <x:v>シナリオ</x:v>
      </x:c>
      <x:c r="C12" s="41" t="str">
        <x:v>シナリオ</x:v>
      </x:c>
      <x:c r="D12" s="41" t="str">
        <x:v>シナリオ</x:v>
      </x:c>
      <x:c r="E12" s="41" t="str">
        <x:v>シナリオ</x:v>
      </x:c>
      <x:c r="F12" s="41" t="str">
        <x:v>シナリオ</x:v>
      </x:c>
      <x:c r="G12" s="41" t="str">
        <x:v>シナリオ</x:v>
      </x:c>
      <x:c r="H12" s="41" t="str">
        <x:v>シナリオ</x:v>
      </x:c>
      <x:c r="I12" s="41" t="str">
        <x:v>シナリオ</x:v>
      </x:c>
      <x:c r="J12" s="41" t="str">
        <x:v>シナリオ</x:v>
      </x:c>
    </x:row>
    <x:row r="13" ht="26" customHeight="1">
      <x:c r="A13" s="16" t="str">
        <x:v>シナリオ</x:v>
      </x:c>
      <x:c r="B13" s="17" t="str">
        <x:v>session倍率</x:v>
      </x:c>
      <x:c r="C13" s="17" t="str">
        <x:v>回遊倍率</x:v>
      </x:c>
      <x:c r="D13" s="17" t="str">
        <x:v>yield倍率</x:v>
      </x:c>
      <x:c r="E13" s="17" t="str">
        <x:v>収益倍率</x:v>
      </x:c>
      <x:c r="F13" s="18" t="str">
        <x:v>推定収益</x:v>
      </x:c>
    </x:row>
    <x:row r="14">
      <x:c r="A14" s="22" t="str">
        <x:v>現状基準</x:v>
      </x:c>
      <x:c r="B14" s="73" t="n">
        <x:v>1</x:v>
      </x:c>
      <x:c r="C14" s="73" t="n">
        <x:v>1</x:v>
      </x:c>
      <x:c r="D14" s="73" t="n">
        <x:v>1</x:v>
      </x:c>
      <x:c r="E14" s="73" t="n">
        <x:f>B14*C14*D14</x:f>
        <x:v>1</x:v>
      </x:c>
      <x:c r="F14" s="30" t="n">
        <x:f>$B$9*E14</x:f>
        <x:v>1665.9657842265</x:v>
      </x:c>
    </x:row>
    <x:row r="15">
      <x:c r="A15" s="23" t="str">
        <x:v>流入改善</x:v>
      </x:c>
      <x:c r="B15" s="74" t="n">
        <x:v>1.25</x:v>
      </x:c>
      <x:c r="C15" s="74" t="n">
        <x:v>1</x:v>
      </x:c>
      <x:c r="D15" s="74" t="n">
        <x:v>1</x:v>
      </x:c>
      <x:c r="E15" s="74" t="n">
        <x:f>B15*C15*D15</x:f>
        <x:v>1.25</x:v>
      </x:c>
      <x:c r="F15" s="31" t="n">
        <x:f>$B$9*E15</x:f>
        <x:v>2082.457230283125</x:v>
      </x:c>
    </x:row>
    <x:row r="16">
      <x:c r="A16" s="23" t="str">
        <x:v>回遊改善</x:v>
      </x:c>
      <x:c r="B16" s="74" t="n">
        <x:v>1</x:v>
      </x:c>
      <x:c r="C16" s="74" t="n">
        <x:v>1.2</x:v>
      </x:c>
      <x:c r="D16" s="74" t="n">
        <x:v>1</x:v>
      </x:c>
      <x:c r="E16" s="74" t="n">
        <x:f>B16*C16*D16</x:f>
        <x:v>1.2</x:v>
      </x:c>
      <x:c r="F16" s="31" t="n">
        <x:f>$B$9*E16</x:f>
        <x:v>1999.1589410718</x:v>
      </x:c>
    </x:row>
    <x:row r="17">
      <x:c r="A17" s="23" t="str">
        <x:v>複合改善</x:v>
      </x:c>
      <x:c r="B17" s="74" t="n">
        <x:v>1.5</x:v>
      </x:c>
      <x:c r="C17" s="74" t="n">
        <x:v>1.2</x:v>
      </x:c>
      <x:c r="D17" s="74" t="n">
        <x:v>1.1</x:v>
      </x:c>
      <x:c r="E17" s="74" t="n">
        <x:f>B17*C17*D17</x:f>
        <x:v>1.98</x:v>
      </x:c>
      <x:c r="F17" s="31" t="n">
        <x:f>$B$9*E17</x:f>
        <x:v>3298.61225276847</x:v>
      </x:c>
    </x:row>
    <x:row r="21" ht="24" customHeight="1">
      <x:c r="A21" s="41" t="str">
        <x:v>注意</x:v>
      </x:c>
      <x:c r="B21" s="41" t="str">
        <x:v>注意</x:v>
      </x:c>
      <x:c r="C21" s="41" t="str">
        <x:v>注意</x:v>
      </x:c>
      <x:c r="D21" s="41" t="str">
        <x:v>注意</x:v>
      </x:c>
      <x:c r="E21" s="41" t="str">
        <x:v>注意</x:v>
      </x:c>
      <x:c r="F21" s="41" t="str">
        <x:v>注意</x:v>
      </x:c>
      <x:c r="G21" s="41" t="str">
        <x:v>注意</x:v>
      </x:c>
      <x:c r="H21" s="41" t="str">
        <x:v>注意</x:v>
      </x:c>
      <x:c r="I21" s="41" t="str">
        <x:v>注意</x:v>
      </x:c>
      <x:c r="J21" s="41" t="str">
        <x:v>注意</x:v>
      </x:c>
    </x:row>
    <x:row r="22">
      <x:c r="A22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B22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C22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D22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E22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F22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G22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H22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</x:row>
    <x:row r="23">
      <x:c r="A23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B23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C23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D23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E23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F23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G23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H23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</x:row>
    <x:row r="24">
      <x:c r="A24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B24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C24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D24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E24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F24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G24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  <x:c r="H24" s="7" t="str">
        <x:v>シナリオは予測ではありません。流入、回遊、広告単価は独立ではなく、レース日程・端末・広告需要で同時に変動します。採否は必ず同時対照群と人間session分母で確認します。</x:v>
      </x:c>
    </x:row>
  </x:sheetData>
  <x:mergeCells>
    <x:mergeCell ref="A1:J1"/>
    <x:mergeCell ref="A2:J2"/>
    <x:mergeCell ref="A4:J4"/>
    <x:mergeCell ref="A12:J12"/>
    <x:mergeCell ref="A21:J21"/>
    <x:mergeCell ref="A22:H24"/>
  </x:mergeCells>
  <x:pageMargins left="0.7" right="0.7" top="0.75" bottom="0.75" header="0.3" footer="0.3"/>
</x:worksheet>
</file>